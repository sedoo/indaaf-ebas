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cc/Desktop/EBAS pluie/PLUIE2010/"/>
    </mc:Choice>
  </mc:AlternateContent>
  <xr:revisionPtr revIDLastSave="0" documentId="13_ncr:1_{823B43FA-56F4-AB44-A075-42DA60D56FBB}" xr6:coauthVersionLast="47" xr6:coauthVersionMax="47" xr10:uidLastSave="{00000000-0000-0000-0000-000000000000}"/>
  <bookViews>
    <workbookView xWindow="0" yWindow="460" windowWidth="28800" windowHeight="16420" activeTab="1" xr2:uid="{00000000-000D-0000-FFFF-FFFF00000000}"/>
  </bookViews>
  <sheets>
    <sheet name="lev2.nas" sheetId="1" r:id="rId1"/>
    <sheet name="exemple pour F. ANDR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0" i="1" l="1"/>
  <c r="Y10" i="1"/>
  <c r="Z10" i="1" s="1"/>
  <c r="AA11" i="1" s="1"/>
  <c r="X11" i="1"/>
  <c r="Y11" i="1"/>
  <c r="Z11" i="1"/>
  <c r="X12" i="1"/>
  <c r="Z12" i="1" s="1"/>
  <c r="AA13" i="1" s="1"/>
  <c r="Y12" i="1"/>
  <c r="AA12" i="1"/>
  <c r="X13" i="1"/>
  <c r="Y13" i="1"/>
  <c r="Z13" i="1"/>
  <c r="X14" i="1"/>
  <c r="Z14" i="1" s="1"/>
  <c r="AA15" i="1" s="1"/>
  <c r="Y14" i="1"/>
  <c r="AA14" i="1"/>
  <c r="X15" i="1"/>
  <c r="Y15" i="1"/>
  <c r="Z15" i="1"/>
  <c r="X16" i="1"/>
  <c r="Y16" i="1"/>
  <c r="Z16" i="1"/>
  <c r="AA17" i="1" s="1"/>
  <c r="AA16" i="1"/>
  <c r="X17" i="1"/>
  <c r="Y17" i="1"/>
  <c r="Z17" i="1"/>
  <c r="X18" i="1"/>
  <c r="Y18" i="1"/>
  <c r="Z18" i="1"/>
  <c r="AA18" i="1"/>
  <c r="X19" i="1"/>
  <c r="Y19" i="1"/>
  <c r="Z19" i="1"/>
  <c r="AA19" i="1"/>
  <c r="X20" i="1"/>
  <c r="Y20" i="1"/>
  <c r="Z20" i="1"/>
  <c r="AA20" i="1"/>
  <c r="X21" i="1"/>
  <c r="Y21" i="1"/>
  <c r="Z21" i="1"/>
  <c r="AA21" i="1"/>
  <c r="X22" i="1"/>
  <c r="Y22" i="1"/>
  <c r="Z22" i="1"/>
  <c r="AA22" i="1"/>
  <c r="X23" i="1"/>
  <c r="Y23" i="1"/>
  <c r="Z23" i="1"/>
  <c r="AA23" i="1"/>
  <c r="X24" i="1"/>
  <c r="Y24" i="1"/>
  <c r="Z24" i="1"/>
  <c r="AA24" i="1"/>
  <c r="X25" i="1"/>
  <c r="Y25" i="1"/>
  <c r="Z25" i="1"/>
  <c r="AA25" i="1"/>
  <c r="X26" i="1"/>
  <c r="Y26" i="1"/>
  <c r="Z26" i="1"/>
  <c r="AA26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29" i="1"/>
  <c r="S31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29" i="1"/>
  <c r="P30" i="1"/>
  <c r="P31" i="1"/>
  <c r="P32" i="1"/>
  <c r="P33" i="1"/>
  <c r="P34" i="1"/>
  <c r="P35" i="1"/>
  <c r="P43" i="1"/>
  <c r="P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9" i="1"/>
</calcChain>
</file>

<file path=xl/sharedStrings.xml><?xml version="1.0" encoding="utf-8"?>
<sst xmlns="http://schemas.openxmlformats.org/spreadsheetml/2006/main" count="181" uniqueCount="96">
  <si>
    <t>pH</t>
  </si>
  <si>
    <t>9.999</t>
  </si>
  <si>
    <t>9.99</t>
  </si>
  <si>
    <t>99.99</t>
  </si>
  <si>
    <t>mm</t>
  </si>
  <si>
    <t>starttime</t>
  </si>
  <si>
    <t>endtime</t>
  </si>
  <si>
    <t>flag_mm</t>
  </si>
  <si>
    <t>mm_off</t>
  </si>
  <si>
    <t>flag_mm_off</t>
  </si>
  <si>
    <t>NH4+</t>
  </si>
  <si>
    <t>flag_NH4+</t>
  </si>
  <si>
    <t>Ca++</t>
  </si>
  <si>
    <t>flag_Ca++</t>
  </si>
  <si>
    <t>Cl-</t>
  </si>
  <si>
    <t>flag_Cl-</t>
  </si>
  <si>
    <t>cond</t>
  </si>
  <si>
    <t>flag_cond</t>
  </si>
  <si>
    <t>Mg++</t>
  </si>
  <si>
    <t>flag_Mg++</t>
  </si>
  <si>
    <t>NO3-</t>
  </si>
  <si>
    <t>flag_NO3-</t>
  </si>
  <si>
    <t>flag_pH</t>
  </si>
  <si>
    <t>K+</t>
  </si>
  <si>
    <t>flag_K+</t>
  </si>
  <si>
    <t>Na+</t>
  </si>
  <si>
    <t>flag_Na+</t>
  </si>
  <si>
    <t>SO4--</t>
  </si>
  <si>
    <t>flag_SO4--</t>
  </si>
  <si>
    <t>0.291667</t>
  </si>
  <si>
    <t>1.291667</t>
  </si>
  <si>
    <t>0.6</t>
  </si>
  <si>
    <t>0.000</t>
  </si>
  <si>
    <t>0.999</t>
  </si>
  <si>
    <t>0.30</t>
  </si>
  <si>
    <t>0.09</t>
  </si>
  <si>
    <t>0.62</t>
  </si>
  <si>
    <t>0.783</t>
  </si>
  <si>
    <t>0.047</t>
  </si>
  <si>
    <t>0.43</t>
  </si>
  <si>
    <t>0.04</t>
  </si>
  <si>
    <t>0.33</t>
  </si>
  <si>
    <t>0.24</t>
  </si>
  <si>
    <t>2.291667</t>
  </si>
  <si>
    <t>11.4</t>
  </si>
  <si>
    <t>0.05</t>
  </si>
  <si>
    <t>0.03</t>
  </si>
  <si>
    <t>0.010</t>
  </si>
  <si>
    <t>0.781</t>
  </si>
  <si>
    <t>0.34</t>
  </si>
  <si>
    <t>4.67</t>
  </si>
  <si>
    <t>0.02</t>
  </si>
  <si>
    <t>0.16</t>
  </si>
  <si>
    <t>3.291667</t>
  </si>
  <si>
    <t>0.0</t>
  </si>
  <si>
    <t>0.890</t>
  </si>
  <si>
    <t>4.291667</t>
  </si>
  <si>
    <t>22.1</t>
  </si>
  <si>
    <t>0.08</t>
  </si>
  <si>
    <t>0.22</t>
  </si>
  <si>
    <t>4.70</t>
  </si>
  <si>
    <t>0.10</t>
  </si>
  <si>
    <t>Date</t>
  </si>
  <si>
    <t>Cond.</t>
  </si>
  <si>
    <t>PH</t>
  </si>
  <si>
    <r>
      <t>H</t>
    </r>
    <r>
      <rPr>
        <b/>
        <vertAlign val="superscript"/>
        <sz val="12"/>
        <color indexed="8"/>
        <rFont val="Arial"/>
        <family val="2"/>
      </rPr>
      <t>+</t>
    </r>
  </si>
  <si>
    <r>
      <t>Na</t>
    </r>
    <r>
      <rPr>
        <b/>
        <vertAlign val="superscript"/>
        <sz val="12"/>
        <color indexed="8"/>
        <rFont val="Arial"/>
        <family val="2"/>
      </rPr>
      <t>+</t>
    </r>
  </si>
  <si>
    <r>
      <t>NH</t>
    </r>
    <r>
      <rPr>
        <b/>
        <vertAlign val="subscript"/>
        <sz val="12"/>
        <color indexed="8"/>
        <rFont val="Arial"/>
        <family val="2"/>
      </rPr>
      <t>4</t>
    </r>
    <r>
      <rPr>
        <b/>
        <vertAlign val="superscript"/>
        <sz val="12"/>
        <color indexed="8"/>
        <rFont val="Arial"/>
        <family val="2"/>
      </rPr>
      <t>+</t>
    </r>
  </si>
  <si>
    <r>
      <t>K</t>
    </r>
    <r>
      <rPr>
        <b/>
        <vertAlign val="superscript"/>
        <sz val="12"/>
        <color indexed="8"/>
        <rFont val="Arial"/>
        <family val="2"/>
      </rPr>
      <t>+</t>
    </r>
  </si>
  <si>
    <r>
      <t>Ca</t>
    </r>
    <r>
      <rPr>
        <b/>
        <vertAlign val="superscript"/>
        <sz val="12"/>
        <color indexed="8"/>
        <rFont val="Arial"/>
        <family val="2"/>
      </rPr>
      <t>2+</t>
    </r>
  </si>
  <si>
    <r>
      <t>Mg</t>
    </r>
    <r>
      <rPr>
        <b/>
        <vertAlign val="superscript"/>
        <sz val="12"/>
        <color indexed="8"/>
        <rFont val="Arial"/>
        <family val="2"/>
      </rPr>
      <t>2+</t>
    </r>
  </si>
  <si>
    <r>
      <t>NO</t>
    </r>
    <r>
      <rPr>
        <b/>
        <vertAlign val="subscript"/>
        <sz val="12"/>
        <color indexed="8"/>
        <rFont val="Arial"/>
        <family val="2"/>
      </rPr>
      <t>3</t>
    </r>
    <r>
      <rPr>
        <b/>
        <vertAlign val="superscript"/>
        <sz val="12"/>
        <color indexed="8"/>
        <rFont val="Arial"/>
        <family val="2"/>
      </rPr>
      <t>-</t>
    </r>
  </si>
  <si>
    <r>
      <t>Cl</t>
    </r>
    <r>
      <rPr>
        <b/>
        <vertAlign val="superscript"/>
        <sz val="12"/>
        <color indexed="8"/>
        <rFont val="Arial"/>
        <family val="2"/>
      </rPr>
      <t>-</t>
    </r>
  </si>
  <si>
    <r>
      <t>SO</t>
    </r>
    <r>
      <rPr>
        <b/>
        <vertAlign val="subscript"/>
        <sz val="12"/>
        <color indexed="8"/>
        <rFont val="Arial"/>
        <family val="2"/>
      </rPr>
      <t>4</t>
    </r>
    <r>
      <rPr>
        <b/>
        <vertAlign val="superscript"/>
        <sz val="12"/>
        <color indexed="8"/>
        <rFont val="Arial"/>
        <family val="2"/>
      </rPr>
      <t>2-</t>
    </r>
  </si>
  <si>
    <t>HCOO</t>
  </si>
  <si>
    <r>
      <t>CH</t>
    </r>
    <r>
      <rPr>
        <b/>
        <vertAlign val="subscript"/>
        <sz val="12"/>
        <color indexed="8"/>
        <rFont val="Arial"/>
        <family val="2"/>
      </rPr>
      <t>3</t>
    </r>
    <r>
      <rPr>
        <b/>
        <sz val="12"/>
        <color indexed="8"/>
        <rFont val="Arial"/>
        <family val="2"/>
      </rPr>
      <t>COO</t>
    </r>
  </si>
  <si>
    <r>
      <t>C</t>
    </r>
    <r>
      <rPr>
        <b/>
        <vertAlign val="subscript"/>
        <sz val="12"/>
        <color indexed="8"/>
        <rFont val="Arial"/>
        <family val="2"/>
      </rPr>
      <t>2</t>
    </r>
    <r>
      <rPr>
        <b/>
        <sz val="12"/>
        <color indexed="8"/>
        <rFont val="Arial"/>
        <family val="2"/>
      </rPr>
      <t>H</t>
    </r>
    <r>
      <rPr>
        <b/>
        <vertAlign val="subscript"/>
        <sz val="12"/>
        <color indexed="8"/>
        <rFont val="Arial"/>
        <family val="2"/>
      </rPr>
      <t>5</t>
    </r>
    <r>
      <rPr>
        <b/>
        <sz val="12"/>
        <color indexed="8"/>
        <rFont val="Arial"/>
        <family val="2"/>
      </rPr>
      <t>COO</t>
    </r>
  </si>
  <si>
    <r>
      <t>C</t>
    </r>
    <r>
      <rPr>
        <b/>
        <vertAlign val="subscript"/>
        <sz val="12"/>
        <color indexed="8"/>
        <rFont val="Arial"/>
        <family val="2"/>
      </rPr>
      <t>2</t>
    </r>
    <r>
      <rPr>
        <b/>
        <sz val="12"/>
        <color indexed="8"/>
        <rFont val="Arial"/>
        <family val="2"/>
      </rPr>
      <t>O</t>
    </r>
    <r>
      <rPr>
        <b/>
        <vertAlign val="subscript"/>
        <sz val="12"/>
        <color indexed="8"/>
        <rFont val="Arial"/>
        <family val="2"/>
      </rPr>
      <t>4</t>
    </r>
  </si>
  <si>
    <t>t Carb</t>
  </si>
  <si>
    <r>
      <t>HCOO</t>
    </r>
    <r>
      <rPr>
        <b/>
        <vertAlign val="superscript"/>
        <sz val="12"/>
        <rFont val="Arial"/>
        <family val="2"/>
      </rPr>
      <t>-</t>
    </r>
  </si>
  <si>
    <r>
      <t>CH</t>
    </r>
    <r>
      <rPr>
        <b/>
        <vertAlign val="subscript"/>
        <sz val="12"/>
        <rFont val="Arial"/>
        <family val="2"/>
      </rPr>
      <t>3</t>
    </r>
    <r>
      <rPr>
        <b/>
        <sz val="12"/>
        <rFont val="Arial"/>
        <family val="2"/>
      </rPr>
      <t>COO</t>
    </r>
    <r>
      <rPr>
        <b/>
        <vertAlign val="superscript"/>
        <sz val="12"/>
        <rFont val="Arial"/>
        <family val="2"/>
      </rPr>
      <t>-</t>
    </r>
  </si>
  <si>
    <r>
      <t>C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5</t>
    </r>
    <r>
      <rPr>
        <b/>
        <sz val="12"/>
        <rFont val="Arial"/>
        <family val="2"/>
      </rPr>
      <t>COO</t>
    </r>
    <r>
      <rPr>
        <b/>
        <vertAlign val="superscript"/>
        <sz val="12"/>
        <rFont val="Arial"/>
        <family val="2"/>
      </rPr>
      <t>-</t>
    </r>
  </si>
  <si>
    <r>
      <t>C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O</t>
    </r>
    <r>
      <rPr>
        <b/>
        <vertAlign val="subscript"/>
        <sz val="12"/>
        <rFont val="Arial"/>
        <family val="2"/>
      </rPr>
      <t>4</t>
    </r>
    <r>
      <rPr>
        <b/>
        <vertAlign val="superscript"/>
        <sz val="12"/>
        <rFont val="Arial"/>
        <family val="2"/>
      </rPr>
      <t>-</t>
    </r>
  </si>
  <si>
    <t>AE</t>
  </si>
  <si>
    <t>CE</t>
  </si>
  <si>
    <t>AE+CE</t>
  </si>
  <si>
    <t>ID</t>
  </si>
  <si>
    <t>Cond</t>
  </si>
  <si>
    <t>HCOO-</t>
  </si>
  <si>
    <t>HCO3-</t>
  </si>
  <si>
    <r>
      <t>CH</t>
    </r>
    <r>
      <rPr>
        <vertAlign val="subscript"/>
        <sz val="12"/>
        <color indexed="8"/>
        <rFont val="Arial"/>
        <family val="2"/>
      </rPr>
      <t>3</t>
    </r>
    <r>
      <rPr>
        <sz val="12"/>
        <color indexed="8"/>
        <rFont val="Arial"/>
        <family val="2"/>
      </rPr>
      <t>COO-</t>
    </r>
  </si>
  <si>
    <r>
      <t>C</t>
    </r>
    <r>
      <rPr>
        <vertAlign val="subscript"/>
        <sz val="12"/>
        <color indexed="8"/>
        <rFont val="Arial"/>
        <family val="2"/>
      </rPr>
      <t>2</t>
    </r>
    <r>
      <rPr>
        <sz val="12"/>
        <color indexed="8"/>
        <rFont val="Arial"/>
        <family val="2"/>
      </rPr>
      <t>H</t>
    </r>
    <r>
      <rPr>
        <vertAlign val="subscript"/>
        <sz val="12"/>
        <color indexed="8"/>
        <rFont val="Arial"/>
        <family val="2"/>
      </rPr>
      <t>5</t>
    </r>
    <r>
      <rPr>
        <sz val="12"/>
        <color indexed="8"/>
        <rFont val="Arial"/>
        <family val="2"/>
      </rPr>
      <t>COO-</t>
    </r>
  </si>
  <si>
    <r>
      <t>C</t>
    </r>
    <r>
      <rPr>
        <vertAlign val="subscript"/>
        <sz val="12"/>
        <color indexed="8"/>
        <rFont val="Arial"/>
        <family val="2"/>
      </rPr>
      <t>2</t>
    </r>
    <r>
      <rPr>
        <sz val="12"/>
        <color indexed="8"/>
        <rFont val="Arial"/>
        <family val="2"/>
      </rPr>
      <t>O</t>
    </r>
    <r>
      <rPr>
        <vertAlign val="subscript"/>
        <sz val="12"/>
        <color indexed="8"/>
        <rFont val="Arial"/>
        <family val="2"/>
      </rPr>
      <t>4</t>
    </r>
    <r>
      <rPr>
        <sz val="12"/>
        <color indexed="8"/>
        <rFont val="Arial"/>
        <family val="2"/>
      </rPr>
      <t>--</t>
    </r>
  </si>
  <si>
    <t>CH3COO-</t>
  </si>
  <si>
    <t>C2H5COO-</t>
  </si>
  <si>
    <t>C2O4--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</si>
</sst>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indexed="8"/>
      <name val="Arial"/>
      <family val="2"/>
    </font>
    <font>
      <b/>
      <vertAlign val="superscript"/>
      <sz val="12"/>
      <color indexed="8"/>
      <name val="Arial"/>
      <family val="2"/>
    </font>
    <font>
      <b/>
      <vertAlign val="subscript"/>
      <sz val="12"/>
      <color indexed="8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b/>
      <vertAlign val="subscript"/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indexed="8"/>
      <name val="Calibri"/>
      <family val="2"/>
    </font>
    <font>
      <sz val="12"/>
      <color indexed="8"/>
      <name val="Arial"/>
      <family val="2"/>
    </font>
    <font>
      <vertAlign val="subscript"/>
      <sz val="12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10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6" fillId="0" borderId="0"/>
  </cellStyleXfs>
  <cellXfs count="21">
    <xf numFmtId="0" fontId="0" fillId="0" borderId="0" xfId="0"/>
    <xf numFmtId="0" fontId="0" fillId="33" borderId="0" xfId="0" applyFill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4" fillId="0" borderId="0" xfId="0" applyFont="1"/>
    <xf numFmtId="14" fontId="25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2" fontId="24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5" fillId="0" borderId="0" xfId="42" applyFont="1" applyAlignment="1">
      <alignment horizontal="center"/>
    </xf>
    <xf numFmtId="0" fontId="27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/>
    </xf>
    <xf numFmtId="0" fontId="30" fillId="0" borderId="0" xfId="42" applyFont="1" applyAlignment="1">
      <alignment horizontal="left"/>
    </xf>
    <xf numFmtId="0" fontId="0" fillId="0" borderId="0" xfId="0" applyFont="1" applyAlignment="1">
      <alignment horizontal="left"/>
    </xf>
    <xf numFmtId="0" fontId="27" fillId="34" borderId="10" xfId="0" applyFont="1" applyFill="1" applyBorder="1" applyAlignment="1">
      <alignment horizontal="left" vertical="center" wrapText="1"/>
    </xf>
    <xf numFmtId="2" fontId="0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rmal_VWM" xfId="42" xr:uid="{04B72282-E634-8743-A5EF-C61AB8EDF745}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AB45"/>
  <sheetViews>
    <sheetView topLeftCell="A18" workbookViewId="0">
      <selection activeCell="A28" sqref="A28:R48"/>
    </sheetView>
  </sheetViews>
  <sheetFormatPr baseColWidth="10" defaultRowHeight="16" x14ac:dyDescent="0.2"/>
  <cols>
    <col min="1" max="2" width="28" customWidth="1"/>
    <col min="3" max="3" width="19.5" customWidth="1"/>
    <col min="4" max="4" width="20" customWidth="1"/>
    <col min="5" max="5" width="19.6640625" customWidth="1"/>
    <col min="6" max="6" width="26.33203125" customWidth="1"/>
    <col min="7" max="7" width="19" customWidth="1"/>
    <col min="8" max="8" width="19.1640625" customWidth="1"/>
    <col min="9" max="9" width="18.83203125" customWidth="1"/>
    <col min="10" max="10" width="15.83203125" customWidth="1"/>
    <col min="11" max="11" width="17" customWidth="1"/>
    <col min="12" max="12" width="20.33203125" customWidth="1"/>
    <col min="13" max="13" width="17" customWidth="1"/>
    <col min="14" max="14" width="19.5" customWidth="1"/>
    <col min="15" max="15" width="16.5" customWidth="1"/>
    <col min="16" max="16" width="17.1640625" customWidth="1"/>
    <col min="17" max="17" width="15.5" customWidth="1"/>
    <col min="18" max="18" width="13" customWidth="1"/>
    <col min="19" max="19" width="15.33203125" customWidth="1"/>
    <col min="20" max="20" width="14.83203125" customWidth="1"/>
  </cols>
  <sheetData>
    <row r="2" spans="1:28" s="1" customFormat="1" x14ac:dyDescent="0.2">
      <c r="A2" s="1" t="s">
        <v>5</v>
      </c>
      <c r="B2" s="1" t="s">
        <v>6</v>
      </c>
      <c r="C2" s="1" t="s">
        <v>4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0</v>
      </c>
      <c r="T2" s="1" t="s">
        <v>22</v>
      </c>
      <c r="U2" s="1" t="s">
        <v>23</v>
      </c>
      <c r="V2" s="1" t="s">
        <v>24</v>
      </c>
      <c r="W2" s="1" t="s">
        <v>25</v>
      </c>
      <c r="X2" s="1" t="s">
        <v>26</v>
      </c>
      <c r="Y2" s="1" t="s">
        <v>27</v>
      </c>
      <c r="Z2" s="1" t="s">
        <v>28</v>
      </c>
    </row>
    <row r="3" spans="1:28" x14ac:dyDescent="0.2">
      <c r="A3" t="s">
        <v>29</v>
      </c>
      <c r="B3" t="s">
        <v>30</v>
      </c>
      <c r="C3" t="s">
        <v>31</v>
      </c>
      <c r="D3" t="s">
        <v>32</v>
      </c>
      <c r="E3">
        <v>9</v>
      </c>
      <c r="F3" t="s">
        <v>33</v>
      </c>
      <c r="G3" t="s">
        <v>34</v>
      </c>
      <c r="H3" t="s">
        <v>32</v>
      </c>
      <c r="I3" t="s">
        <v>35</v>
      </c>
      <c r="J3" t="s">
        <v>32</v>
      </c>
      <c r="K3" t="s">
        <v>36</v>
      </c>
      <c r="L3" t="s">
        <v>32</v>
      </c>
      <c r="M3">
        <v>999</v>
      </c>
      <c r="N3" t="s">
        <v>37</v>
      </c>
      <c r="O3" t="s">
        <v>38</v>
      </c>
      <c r="P3" t="s">
        <v>32</v>
      </c>
      <c r="Q3" t="s">
        <v>39</v>
      </c>
      <c r="R3" t="s">
        <v>32</v>
      </c>
      <c r="S3" t="s">
        <v>3</v>
      </c>
      <c r="T3" t="s">
        <v>37</v>
      </c>
      <c r="U3" t="s">
        <v>40</v>
      </c>
      <c r="V3" t="s">
        <v>32</v>
      </c>
      <c r="W3" t="s">
        <v>41</v>
      </c>
      <c r="X3" t="s">
        <v>32</v>
      </c>
      <c r="Y3" t="s">
        <v>42</v>
      </c>
      <c r="Z3" t="s">
        <v>32</v>
      </c>
    </row>
    <row r="4" spans="1:28" x14ac:dyDescent="0.2">
      <c r="A4" t="s">
        <v>30</v>
      </c>
      <c r="B4" t="s">
        <v>43</v>
      </c>
      <c r="C4" t="s">
        <v>44</v>
      </c>
      <c r="D4" t="s">
        <v>32</v>
      </c>
      <c r="E4">
        <v>9</v>
      </c>
      <c r="F4" t="s">
        <v>33</v>
      </c>
      <c r="G4" t="s">
        <v>45</v>
      </c>
      <c r="H4" t="s">
        <v>32</v>
      </c>
      <c r="I4" t="s">
        <v>46</v>
      </c>
      <c r="J4" t="s">
        <v>32</v>
      </c>
      <c r="K4" t="s">
        <v>35</v>
      </c>
      <c r="L4" t="s">
        <v>32</v>
      </c>
      <c r="M4">
        <v>12</v>
      </c>
      <c r="N4" t="s">
        <v>32</v>
      </c>
      <c r="O4" t="s">
        <v>47</v>
      </c>
      <c r="P4" t="s">
        <v>48</v>
      </c>
      <c r="Q4" t="s">
        <v>49</v>
      </c>
      <c r="R4" t="s">
        <v>32</v>
      </c>
      <c r="S4" t="s">
        <v>50</v>
      </c>
      <c r="T4" t="s">
        <v>32</v>
      </c>
      <c r="U4" t="s">
        <v>51</v>
      </c>
      <c r="V4" t="s">
        <v>32</v>
      </c>
      <c r="W4" t="s">
        <v>45</v>
      </c>
      <c r="X4" t="s">
        <v>32</v>
      </c>
      <c r="Y4" t="s">
        <v>52</v>
      </c>
      <c r="Z4" t="s">
        <v>32</v>
      </c>
    </row>
    <row r="5" spans="1:28" x14ac:dyDescent="0.2">
      <c r="A5" t="s">
        <v>43</v>
      </c>
      <c r="B5" t="s">
        <v>53</v>
      </c>
      <c r="C5" t="s">
        <v>54</v>
      </c>
      <c r="D5" t="s">
        <v>32</v>
      </c>
      <c r="E5">
        <v>9</v>
      </c>
      <c r="F5" t="s">
        <v>33</v>
      </c>
      <c r="G5" t="s">
        <v>2</v>
      </c>
      <c r="H5" t="s">
        <v>55</v>
      </c>
      <c r="I5" t="s">
        <v>2</v>
      </c>
      <c r="J5" t="s">
        <v>55</v>
      </c>
      <c r="K5" t="s">
        <v>2</v>
      </c>
      <c r="L5" t="s">
        <v>55</v>
      </c>
      <c r="M5">
        <v>999</v>
      </c>
      <c r="N5" t="s">
        <v>55</v>
      </c>
      <c r="O5" t="s">
        <v>1</v>
      </c>
      <c r="P5" t="s">
        <v>55</v>
      </c>
      <c r="Q5" t="s">
        <v>2</v>
      </c>
      <c r="R5" t="s">
        <v>55</v>
      </c>
      <c r="S5" t="s">
        <v>3</v>
      </c>
      <c r="T5" t="s">
        <v>55</v>
      </c>
      <c r="U5" t="s">
        <v>2</v>
      </c>
      <c r="V5" t="s">
        <v>55</v>
      </c>
      <c r="W5" t="s">
        <v>2</v>
      </c>
      <c r="X5" t="s">
        <v>55</v>
      </c>
      <c r="Y5" t="s">
        <v>2</v>
      </c>
      <c r="Z5" t="s">
        <v>55</v>
      </c>
    </row>
    <row r="6" spans="1:28" x14ac:dyDescent="0.2">
      <c r="A6" t="s">
        <v>53</v>
      </c>
      <c r="B6" t="s">
        <v>56</v>
      </c>
      <c r="C6" t="s">
        <v>57</v>
      </c>
      <c r="D6" t="s">
        <v>32</v>
      </c>
      <c r="E6">
        <v>9</v>
      </c>
      <c r="F6" t="s">
        <v>33</v>
      </c>
      <c r="G6" t="s">
        <v>46</v>
      </c>
      <c r="H6" t="s">
        <v>32</v>
      </c>
      <c r="I6" t="s">
        <v>51</v>
      </c>
      <c r="J6" t="s">
        <v>32</v>
      </c>
      <c r="K6" t="s">
        <v>58</v>
      </c>
      <c r="L6" t="s">
        <v>32</v>
      </c>
      <c r="M6">
        <v>12</v>
      </c>
      <c r="N6" t="s">
        <v>32</v>
      </c>
      <c r="O6" t="s">
        <v>47</v>
      </c>
      <c r="P6" t="s">
        <v>48</v>
      </c>
      <c r="Q6" t="s">
        <v>59</v>
      </c>
      <c r="R6" t="s">
        <v>32</v>
      </c>
      <c r="S6" t="s">
        <v>60</v>
      </c>
      <c r="T6" t="s">
        <v>32</v>
      </c>
      <c r="U6" t="s">
        <v>51</v>
      </c>
      <c r="V6" t="s">
        <v>32</v>
      </c>
      <c r="W6" t="s">
        <v>46</v>
      </c>
      <c r="X6" t="s">
        <v>32</v>
      </c>
      <c r="Y6" t="s">
        <v>61</v>
      </c>
      <c r="Z6" t="s">
        <v>32</v>
      </c>
    </row>
    <row r="9" spans="1:28" ht="17.25" customHeight="1" x14ac:dyDescent="0.2">
      <c r="A9" s="2" t="s">
        <v>62</v>
      </c>
      <c r="B9" s="2"/>
      <c r="C9" s="3" t="s">
        <v>4</v>
      </c>
      <c r="D9" s="3" t="s">
        <v>63</v>
      </c>
      <c r="E9" s="3" t="s">
        <v>64</v>
      </c>
      <c r="F9" s="2" t="s">
        <v>65</v>
      </c>
      <c r="G9" s="3" t="s">
        <v>66</v>
      </c>
      <c r="H9" s="3" t="s">
        <v>67</v>
      </c>
      <c r="I9" s="3" t="s">
        <v>68</v>
      </c>
      <c r="J9" s="3" t="s">
        <v>69</v>
      </c>
      <c r="K9" s="3" t="s">
        <v>70</v>
      </c>
      <c r="L9" s="3" t="s">
        <v>71</v>
      </c>
      <c r="M9" s="3" t="s">
        <v>72</v>
      </c>
      <c r="N9" s="3" t="s">
        <v>73</v>
      </c>
      <c r="O9" s="3" t="s">
        <v>74</v>
      </c>
      <c r="P9" s="3" t="s">
        <v>75</v>
      </c>
      <c r="Q9" s="3" t="s">
        <v>76</v>
      </c>
      <c r="R9" s="3" t="s">
        <v>77</v>
      </c>
      <c r="S9" s="4" t="s">
        <v>78</v>
      </c>
      <c r="T9" s="5" t="s">
        <v>79</v>
      </c>
      <c r="U9" s="5" t="s">
        <v>80</v>
      </c>
      <c r="V9" s="5" t="s">
        <v>81</v>
      </c>
      <c r="W9" s="5" t="s">
        <v>82</v>
      </c>
      <c r="X9" s="2" t="s">
        <v>83</v>
      </c>
      <c r="Y9" s="2" t="s">
        <v>84</v>
      </c>
      <c r="Z9" s="2" t="s">
        <v>85</v>
      </c>
      <c r="AA9" s="2" t="s">
        <v>86</v>
      </c>
      <c r="AB9" s="6"/>
    </row>
    <row r="10" spans="1:28" x14ac:dyDescent="0.2">
      <c r="A10" s="7">
        <v>40355</v>
      </c>
      <c r="B10" s="7"/>
      <c r="C10" s="8">
        <v>35</v>
      </c>
      <c r="D10" s="8">
        <v>23.9</v>
      </c>
      <c r="E10" s="8">
        <v>6.43</v>
      </c>
      <c r="F10" s="9">
        <v>0.37153522909717224</v>
      </c>
      <c r="G10" s="10">
        <v>71.813832100913444</v>
      </c>
      <c r="H10" s="10">
        <v>22.339246119733925</v>
      </c>
      <c r="I10" s="10">
        <v>35.524296675191813</v>
      </c>
      <c r="J10" s="10">
        <v>77.694610778443121</v>
      </c>
      <c r="K10" s="10">
        <v>24.444444444444443</v>
      </c>
      <c r="L10" s="10">
        <v>2.6769875826479601</v>
      </c>
      <c r="M10" s="10">
        <v>42.454160789844849</v>
      </c>
      <c r="N10" s="10">
        <v>64.355611076410568</v>
      </c>
      <c r="O10" s="10">
        <v>1.2661039537983119</v>
      </c>
      <c r="P10" s="10">
        <v>3.8279132791327912</v>
      </c>
      <c r="Q10" s="10">
        <v>0.76649329318368464</v>
      </c>
      <c r="R10" s="10">
        <v>1.0452169961372415</v>
      </c>
      <c r="S10" s="10">
        <v>92.345517128339623</v>
      </c>
      <c r="T10" s="10">
        <v>1.2634642029276626</v>
      </c>
      <c r="U10" s="10">
        <v>3.7495735833326957</v>
      </c>
      <c r="V10" s="10">
        <v>0.7534006897533474</v>
      </c>
      <c r="W10" s="10">
        <v>1.0392368124747522</v>
      </c>
      <c r="X10" s="9">
        <f t="shared" ref="X10:X26" si="0">L10+M10+N10+S10+T10+U10+V10+W10</f>
        <v>208.63795186573142</v>
      </c>
      <c r="Y10" s="10">
        <f t="shared" ref="Y10:Y26" si="1">F10+G10+H10+I10+J10+K10</f>
        <v>232.18796534782393</v>
      </c>
      <c r="Z10" s="9">
        <f t="shared" ref="Z10:Z26" si="2">X10+Y10</f>
        <v>440.82591721355539</v>
      </c>
      <c r="AA10" s="9">
        <v>3.25</v>
      </c>
      <c r="AB10" s="6"/>
    </row>
    <row r="11" spans="1:28" x14ac:dyDescent="0.2">
      <c r="A11" s="7">
        <v>40361</v>
      </c>
      <c r="B11" s="7"/>
      <c r="C11" s="8">
        <v>9.5</v>
      </c>
      <c r="D11" s="8">
        <v>32.5</v>
      </c>
      <c r="E11" s="8">
        <v>6.6</v>
      </c>
      <c r="F11" s="9">
        <v>0.25118864315095779</v>
      </c>
      <c r="G11" s="10">
        <v>58.547194432361898</v>
      </c>
      <c r="H11" s="10">
        <v>13.303769401330378</v>
      </c>
      <c r="I11" s="10">
        <v>28.874680306905368</v>
      </c>
      <c r="J11" s="10">
        <v>50.948103792415175</v>
      </c>
      <c r="K11" s="10">
        <v>16.543209876543209</v>
      </c>
      <c r="L11" s="10">
        <v>13.062409288824384</v>
      </c>
      <c r="M11" s="10">
        <v>57.461212976022566</v>
      </c>
      <c r="N11" s="10">
        <v>34.957318342702479</v>
      </c>
      <c r="O11" s="10">
        <v>0.55530875166592619</v>
      </c>
      <c r="P11" s="10">
        <v>2.0325203252032522</v>
      </c>
      <c r="Q11" s="10">
        <v>8.2124281412537636E-2</v>
      </c>
      <c r="R11" s="10">
        <v>0.59077482390365832</v>
      </c>
      <c r="S11" s="10">
        <v>41.353876413702672</v>
      </c>
      <c r="T11" s="10">
        <v>0.55452546362910082</v>
      </c>
      <c r="U11" s="10">
        <v>2.0042101049970458</v>
      </c>
      <c r="V11" s="10">
        <v>8.1170609901475704E-2</v>
      </c>
      <c r="W11" s="10">
        <v>0.58848535021962622</v>
      </c>
      <c r="X11" s="9">
        <f t="shared" si="0"/>
        <v>150.06320854999933</v>
      </c>
      <c r="Y11" s="10">
        <f t="shared" si="1"/>
        <v>168.46814645270697</v>
      </c>
      <c r="Z11" s="9">
        <f t="shared" si="2"/>
        <v>318.53135500270628</v>
      </c>
      <c r="AA11" s="9">
        <f t="shared" ref="AA11:AA26" si="3">(100*(Y11-X11))/Z10</f>
        <v>4.1751034102179352</v>
      </c>
      <c r="AB11" s="6"/>
    </row>
    <row r="12" spans="1:28" x14ac:dyDescent="0.2">
      <c r="A12" s="7">
        <v>40368</v>
      </c>
      <c r="B12" s="7"/>
      <c r="C12" s="8">
        <v>11</v>
      </c>
      <c r="D12" s="8">
        <v>5.0999999999999996</v>
      </c>
      <c r="E12" s="8">
        <v>6.25</v>
      </c>
      <c r="F12" s="9">
        <v>0.56234132519034874</v>
      </c>
      <c r="G12" s="10">
        <v>6.5245759025663332</v>
      </c>
      <c r="H12" s="10">
        <v>7.594235033259424</v>
      </c>
      <c r="I12" s="10">
        <v>7.6982097186700766</v>
      </c>
      <c r="J12" s="10">
        <v>12.175648702594811</v>
      </c>
      <c r="K12" s="10">
        <v>4.1975308641975309</v>
      </c>
      <c r="L12" s="10">
        <v>4.4831478793742949</v>
      </c>
      <c r="M12" s="10">
        <v>7.2496473906911136</v>
      </c>
      <c r="N12" s="10">
        <v>4.7470331043098062</v>
      </c>
      <c r="O12" s="10">
        <v>0.28876055086628161</v>
      </c>
      <c r="P12" s="10">
        <v>1.3719512195121952</v>
      </c>
      <c r="Q12" s="10">
        <v>9.581166164796058E-2</v>
      </c>
      <c r="R12" s="10">
        <v>0.7952738014087708</v>
      </c>
      <c r="S12" s="10">
        <v>25.208982134076383</v>
      </c>
      <c r="T12" s="10">
        <v>0.28785028833002257</v>
      </c>
      <c r="U12" s="10">
        <v>1.3298962087979516</v>
      </c>
      <c r="V12" s="10">
        <v>9.3356144851465012E-2</v>
      </c>
      <c r="W12" s="10">
        <v>0.78840706294983565</v>
      </c>
      <c r="X12" s="9">
        <f t="shared" si="0"/>
        <v>44.188320213380869</v>
      </c>
      <c r="Y12" s="10">
        <f t="shared" si="1"/>
        <v>38.752541546478525</v>
      </c>
      <c r="Z12" s="9">
        <f t="shared" si="2"/>
        <v>82.940861759859388</v>
      </c>
      <c r="AA12" s="9">
        <f t="shared" si="3"/>
        <v>-1.7065129010160274</v>
      </c>
      <c r="AB12" s="6"/>
    </row>
    <row r="13" spans="1:28" x14ac:dyDescent="0.2">
      <c r="A13" s="7">
        <v>40375</v>
      </c>
      <c r="B13" s="7"/>
      <c r="C13" s="11">
        <v>38</v>
      </c>
      <c r="D13" s="8">
        <v>3.9</v>
      </c>
      <c r="E13" s="8">
        <v>6.09</v>
      </c>
      <c r="F13" s="9">
        <v>0.81283051616409885</v>
      </c>
      <c r="G13" s="10">
        <v>10.830795998260113</v>
      </c>
      <c r="H13" s="10">
        <v>1.2195121951219512</v>
      </c>
      <c r="I13" s="10">
        <v>6.5984654731457795</v>
      </c>
      <c r="J13" s="10">
        <v>17.015968063872258</v>
      </c>
      <c r="K13" s="10">
        <v>5.3497942386831276</v>
      </c>
      <c r="L13" s="10">
        <v>1.0159651669085632</v>
      </c>
      <c r="M13" s="10">
        <v>9.8166431593794066</v>
      </c>
      <c r="N13" s="10">
        <v>5.4132833645638145</v>
      </c>
      <c r="O13" s="10">
        <v>0.15548645046645934</v>
      </c>
      <c r="P13" s="10">
        <v>0.8807588075880759</v>
      </c>
      <c r="Q13" s="10">
        <v>0.23268546400218998</v>
      </c>
      <c r="R13" s="10">
        <v>0.22722108611679165</v>
      </c>
      <c r="S13" s="10">
        <v>26.405507293886249</v>
      </c>
      <c r="T13" s="10">
        <v>0.1547789740560421</v>
      </c>
      <c r="U13" s="10">
        <v>0.84226009345773101</v>
      </c>
      <c r="V13" s="10">
        <v>0.22416302354239262</v>
      </c>
      <c r="W13" s="10">
        <v>0.2243961065088747</v>
      </c>
      <c r="X13" s="9">
        <f t="shared" si="0"/>
        <v>44.096997182303085</v>
      </c>
      <c r="Y13" s="10">
        <f t="shared" si="1"/>
        <v>41.827366485247325</v>
      </c>
      <c r="Z13" s="9">
        <f t="shared" si="2"/>
        <v>85.924363667550409</v>
      </c>
      <c r="AA13" s="9">
        <f t="shared" si="3"/>
        <v>-2.7364445568784599</v>
      </c>
      <c r="AB13" s="6"/>
    </row>
    <row r="14" spans="1:28" x14ac:dyDescent="0.2">
      <c r="A14" s="7">
        <v>40400</v>
      </c>
      <c r="B14" s="7"/>
      <c r="C14" s="11">
        <v>7.5</v>
      </c>
      <c r="D14" s="8">
        <v>13</v>
      </c>
      <c r="E14" s="8">
        <v>6.28</v>
      </c>
      <c r="F14" s="9">
        <v>0.52480746024977143</v>
      </c>
      <c r="G14" s="10">
        <v>20.139190952588084</v>
      </c>
      <c r="H14" s="10">
        <v>13.248337028824835</v>
      </c>
      <c r="I14" s="10">
        <v>8.9258312020460355</v>
      </c>
      <c r="J14" s="10">
        <v>77.095808383233532</v>
      </c>
      <c r="K14" s="10">
        <v>13.004115226337449</v>
      </c>
      <c r="L14" s="10">
        <v>22.141590066118368</v>
      </c>
      <c r="M14" s="10">
        <v>15.373765867418898</v>
      </c>
      <c r="N14" s="10">
        <v>19.77930460129086</v>
      </c>
      <c r="O14" s="10">
        <v>0.35539760106619278</v>
      </c>
      <c r="P14" s="10">
        <v>1.4227642276422765</v>
      </c>
      <c r="Q14" s="10">
        <v>0.23268546400218998</v>
      </c>
      <c r="R14" s="10">
        <v>0.36355373778686662</v>
      </c>
      <c r="S14" s="10">
        <v>57.826585805605639</v>
      </c>
      <c r="T14" s="10">
        <v>0.3543518346622514</v>
      </c>
      <c r="U14" s="10">
        <v>1.38197913198843</v>
      </c>
      <c r="V14" s="10">
        <v>0.22711056081734438</v>
      </c>
      <c r="W14" s="10">
        <v>0.36062248815499254</v>
      </c>
      <c r="X14" s="9">
        <f t="shared" si="0"/>
        <v>117.44531035605679</v>
      </c>
      <c r="Y14" s="10">
        <f t="shared" si="1"/>
        <v>132.93809025327971</v>
      </c>
      <c r="Z14" s="9">
        <f t="shared" si="2"/>
        <v>250.38340060933649</v>
      </c>
      <c r="AA14" s="9">
        <f t="shared" si="3"/>
        <v>18.030718222326286</v>
      </c>
      <c r="AB14" s="6"/>
    </row>
    <row r="15" spans="1:28" x14ac:dyDescent="0.2">
      <c r="A15" s="7">
        <v>40403</v>
      </c>
      <c r="B15" s="7"/>
      <c r="C15" s="8">
        <v>23</v>
      </c>
      <c r="D15" s="8">
        <v>6.1</v>
      </c>
      <c r="E15" s="8">
        <v>6.06</v>
      </c>
      <c r="F15" s="9">
        <v>0.87096358995607992</v>
      </c>
      <c r="G15" s="10">
        <v>16.615919965202263</v>
      </c>
      <c r="H15" s="10">
        <v>2.7161862527716187</v>
      </c>
      <c r="I15" s="10">
        <v>8.3631713554987215</v>
      </c>
      <c r="J15" s="10">
        <v>18.512974051896208</v>
      </c>
      <c r="K15" s="10">
        <v>3.5390946502057612</v>
      </c>
      <c r="L15" s="10">
        <v>4.1606192549588776</v>
      </c>
      <c r="M15" s="10">
        <v>14.330042313117065</v>
      </c>
      <c r="N15" s="10">
        <v>8.2240266500104102</v>
      </c>
      <c r="O15" s="10">
        <v>0.44424700133274098</v>
      </c>
      <c r="P15" s="10">
        <v>1.1517615176151761</v>
      </c>
      <c r="Q15" s="10">
        <v>0.21899808376676702</v>
      </c>
      <c r="R15" s="10">
        <v>0.27266530334014999</v>
      </c>
      <c r="S15" s="10">
        <v>22.275036879200133</v>
      </c>
      <c r="T15" s="10">
        <v>0.44208177841776342</v>
      </c>
      <c r="U15" s="10">
        <v>1.0979845594919033</v>
      </c>
      <c r="V15" s="10">
        <v>0.21042575357203547</v>
      </c>
      <c r="W15" s="10">
        <v>0.26903610612771722</v>
      </c>
      <c r="X15" s="9">
        <f t="shared" si="0"/>
        <v>51.009253294895899</v>
      </c>
      <c r="Y15" s="10">
        <f t="shared" si="1"/>
        <v>50.618309865530655</v>
      </c>
      <c r="Z15" s="9">
        <f t="shared" si="2"/>
        <v>101.62756316042655</v>
      </c>
      <c r="AA15" s="9">
        <f t="shared" si="3"/>
        <v>-0.15613791825410092</v>
      </c>
      <c r="AB15" s="6"/>
    </row>
    <row r="16" spans="1:28" x14ac:dyDescent="0.2">
      <c r="A16" s="7">
        <v>40407</v>
      </c>
      <c r="B16" s="7"/>
      <c r="C16" s="8">
        <v>24</v>
      </c>
      <c r="D16" s="8">
        <v>20.8</v>
      </c>
      <c r="E16" s="8">
        <v>6.31</v>
      </c>
      <c r="F16" s="9">
        <v>0.48977881936844619</v>
      </c>
      <c r="G16" s="10">
        <v>79.469334493257946</v>
      </c>
      <c r="H16" s="10">
        <v>0.66518847006651893</v>
      </c>
      <c r="I16" s="10">
        <v>32.890025575447567</v>
      </c>
      <c r="J16" s="10">
        <v>57.335329341317369</v>
      </c>
      <c r="K16" s="10">
        <v>14.074074074074074</v>
      </c>
      <c r="L16" s="10">
        <v>14.384776648927593</v>
      </c>
      <c r="M16" s="10">
        <v>60.451339915373758</v>
      </c>
      <c r="N16" s="10">
        <v>32.604622111180511</v>
      </c>
      <c r="O16" s="10">
        <v>1.5104398045313192</v>
      </c>
      <c r="P16" s="10">
        <v>3.8109756097560976</v>
      </c>
      <c r="Q16" s="10">
        <v>0.86230495483164515</v>
      </c>
      <c r="R16" s="10">
        <v>0.81799591002044991</v>
      </c>
      <c r="S16" s="10">
        <v>69.644320603179807</v>
      </c>
      <c r="T16" s="10">
        <v>1.5062911342537737</v>
      </c>
      <c r="U16" s="10">
        <v>3.7088260579121943</v>
      </c>
      <c r="V16" s="10">
        <v>0.84299309862028815</v>
      </c>
      <c r="W16" s="10">
        <v>0.81183749285398055</v>
      </c>
      <c r="X16" s="9">
        <f t="shared" si="0"/>
        <v>183.95500706230195</v>
      </c>
      <c r="Y16" s="10">
        <f t="shared" si="1"/>
        <v>184.92373077353193</v>
      </c>
      <c r="Z16" s="9">
        <f t="shared" si="2"/>
        <v>368.87873783583387</v>
      </c>
      <c r="AA16" s="9">
        <f t="shared" si="3"/>
        <v>0.95320962257137143</v>
      </c>
      <c r="AB16" s="6"/>
    </row>
    <row r="17" spans="1:28" x14ac:dyDescent="0.2">
      <c r="A17" s="7">
        <v>40408</v>
      </c>
      <c r="B17" s="7"/>
      <c r="C17" s="8">
        <v>22</v>
      </c>
      <c r="D17" s="8">
        <v>3.9</v>
      </c>
      <c r="E17" s="8">
        <v>5.94</v>
      </c>
      <c r="F17" s="9">
        <v>1.1481536214968806</v>
      </c>
      <c r="G17" s="10">
        <v>4.0017398869073517</v>
      </c>
      <c r="H17" s="10">
        <v>5.0443458980044351</v>
      </c>
      <c r="I17" s="10">
        <v>1.8925831202046035</v>
      </c>
      <c r="J17" s="10">
        <v>22.405189620758485</v>
      </c>
      <c r="K17" s="10">
        <v>3.6213991769547325</v>
      </c>
      <c r="L17" s="10">
        <v>8.2728592162554424</v>
      </c>
      <c r="M17" s="10">
        <v>3.949224259520451</v>
      </c>
      <c r="N17" s="10">
        <v>9.2442223610243595</v>
      </c>
      <c r="O17" s="10">
        <v>0.17769880053309639</v>
      </c>
      <c r="P17" s="10">
        <v>0.62669376693766943</v>
      </c>
      <c r="Q17" s="10">
        <v>5.4749520941691755E-2</v>
      </c>
      <c r="R17" s="10">
        <v>0.11361054305839582</v>
      </c>
      <c r="S17" s="10">
        <v>21.783314210785118</v>
      </c>
      <c r="T17" s="10">
        <v>0.17655884091002624</v>
      </c>
      <c r="U17" s="10">
        <v>0.58868506665230835</v>
      </c>
      <c r="V17" s="10">
        <v>5.1959149407285278E-2</v>
      </c>
      <c r="W17" s="10">
        <v>0.11162552925530182</v>
      </c>
      <c r="X17" s="9">
        <f t="shared" si="0"/>
        <v>44.178448633810291</v>
      </c>
      <c r="Y17" s="10">
        <f t="shared" si="1"/>
        <v>38.113411324326485</v>
      </c>
      <c r="Z17" s="9">
        <f t="shared" si="2"/>
        <v>82.291859958136769</v>
      </c>
      <c r="AA17" s="9">
        <f t="shared" si="3"/>
        <v>-1.6441818644974315</v>
      </c>
      <c r="AB17" s="6"/>
    </row>
    <row r="18" spans="1:28" x14ac:dyDescent="0.2">
      <c r="A18" s="7">
        <v>40416</v>
      </c>
      <c r="B18" s="7"/>
      <c r="C18" s="8">
        <v>4.5</v>
      </c>
      <c r="D18" s="8">
        <v>9.1999999999999993</v>
      </c>
      <c r="E18" s="8">
        <v>6.27</v>
      </c>
      <c r="F18" s="9">
        <v>0.53703179637025245</v>
      </c>
      <c r="G18" s="10">
        <v>17.529360591561549</v>
      </c>
      <c r="H18" s="10">
        <v>6.8181818181818183</v>
      </c>
      <c r="I18" s="10">
        <v>8.8235294117647047</v>
      </c>
      <c r="J18" s="10">
        <v>35.578842315369265</v>
      </c>
      <c r="K18" s="10">
        <v>6.5020576131687244</v>
      </c>
      <c r="L18" s="10">
        <v>1.9190453152717304</v>
      </c>
      <c r="M18" s="10">
        <v>13.427362482369533</v>
      </c>
      <c r="N18" s="10">
        <v>11.18051217988757</v>
      </c>
      <c r="O18" s="10">
        <v>0.68858285206574854</v>
      </c>
      <c r="P18" s="10">
        <v>1.4397018970189701</v>
      </c>
      <c r="Q18" s="10"/>
      <c r="R18" s="10">
        <v>0.47716428084526247</v>
      </c>
      <c r="S18" s="10">
        <v>56.875921980003277</v>
      </c>
      <c r="T18" s="10">
        <v>0.68650962613921684</v>
      </c>
      <c r="U18" s="10">
        <v>1.397498128252231</v>
      </c>
      <c r="V18" s="10"/>
      <c r="W18" s="10">
        <v>0.47322814061694785</v>
      </c>
      <c r="X18" s="9">
        <f t="shared" si="0"/>
        <v>85.960077852540508</v>
      </c>
      <c r="Y18" s="10">
        <f t="shared" si="1"/>
        <v>75.789003546416311</v>
      </c>
      <c r="Z18" s="9">
        <f t="shared" si="2"/>
        <v>161.74908139895683</v>
      </c>
      <c r="AA18" s="9">
        <f t="shared" si="3"/>
        <v>-12.359757467261513</v>
      </c>
      <c r="AB18" s="6"/>
    </row>
    <row r="19" spans="1:28" x14ac:dyDescent="0.2">
      <c r="A19" s="7">
        <v>40420</v>
      </c>
      <c r="B19" s="7"/>
      <c r="C19" s="8">
        <v>6.5</v>
      </c>
      <c r="D19" s="8">
        <v>11.1</v>
      </c>
      <c r="E19" s="8">
        <v>6.39</v>
      </c>
      <c r="F19" s="9">
        <v>0.40738027780411229</v>
      </c>
      <c r="G19" s="10">
        <v>28.664636798608093</v>
      </c>
      <c r="H19" s="10">
        <v>7.8713968957871403</v>
      </c>
      <c r="I19" s="10">
        <v>8.8746803069053701</v>
      </c>
      <c r="J19" s="10">
        <v>47.65469061876248</v>
      </c>
      <c r="K19" s="10">
        <v>12.921810699588477</v>
      </c>
      <c r="L19" s="10">
        <v>16.755362038380905</v>
      </c>
      <c r="M19" s="10">
        <v>22.905500705218618</v>
      </c>
      <c r="N19" s="10">
        <v>19.446179471163855</v>
      </c>
      <c r="O19" s="10">
        <v>0.15548645046645934</v>
      </c>
      <c r="P19" s="10">
        <v>0.71138211382113825</v>
      </c>
      <c r="Q19" s="10"/>
      <c r="R19" s="10">
        <v>0.15905476028175417</v>
      </c>
      <c r="S19" s="10">
        <v>35.010653991148992</v>
      </c>
      <c r="T19" s="10">
        <v>0.15513106572604815</v>
      </c>
      <c r="U19" s="10">
        <v>0.69545026857721626</v>
      </c>
      <c r="V19" s="10"/>
      <c r="W19" s="10">
        <v>0.15805748497182379</v>
      </c>
      <c r="X19" s="9">
        <f t="shared" si="0"/>
        <v>95.126335025187473</v>
      </c>
      <c r="Y19" s="10">
        <f t="shared" si="1"/>
        <v>106.39459559745568</v>
      </c>
      <c r="Z19" s="9">
        <f t="shared" si="2"/>
        <v>201.52093062264316</v>
      </c>
      <c r="AA19" s="9">
        <f t="shared" si="3"/>
        <v>6.9665066872774695</v>
      </c>
      <c r="AB19" s="6"/>
    </row>
    <row r="20" spans="1:28" x14ac:dyDescent="0.2">
      <c r="A20" s="7">
        <v>40420</v>
      </c>
      <c r="B20" s="7"/>
      <c r="C20" s="8">
        <v>16</v>
      </c>
      <c r="D20" s="8">
        <v>5.2</v>
      </c>
      <c r="E20" s="8">
        <v>5.99</v>
      </c>
      <c r="F20" s="9">
        <v>1.0232929922807528</v>
      </c>
      <c r="G20" s="10">
        <v>14.397564158329709</v>
      </c>
      <c r="H20" s="10">
        <v>2.2172949002217295</v>
      </c>
      <c r="I20" s="10">
        <v>5.7800511508951402</v>
      </c>
      <c r="J20" s="10">
        <v>19.660678642714572</v>
      </c>
      <c r="K20" s="10">
        <v>5.4320987654320989</v>
      </c>
      <c r="L20" s="10">
        <v>1.4836316723109177</v>
      </c>
      <c r="M20" s="10">
        <v>9.7320169252468265</v>
      </c>
      <c r="N20" s="10">
        <v>8.2656672912762854</v>
      </c>
      <c r="O20" s="10">
        <v>0.28876055086628161</v>
      </c>
      <c r="P20" s="10">
        <v>1.4905149051490516</v>
      </c>
      <c r="Q20" s="10"/>
      <c r="R20" s="10">
        <v>0.15905476028175417</v>
      </c>
      <c r="S20" s="10">
        <v>22.471725946566139</v>
      </c>
      <c r="T20" s="10">
        <v>0.28710841438644652</v>
      </c>
      <c r="U20" s="10">
        <v>1.4094117256405656</v>
      </c>
      <c r="V20" s="10"/>
      <c r="W20" s="10">
        <v>0.15657324163388306</v>
      </c>
      <c r="X20" s="9">
        <f t="shared" si="0"/>
        <v>43.806135217061069</v>
      </c>
      <c r="Y20" s="10">
        <f t="shared" si="1"/>
        <v>48.510980609874011</v>
      </c>
      <c r="Z20" s="9">
        <f t="shared" si="2"/>
        <v>92.31711582693508</v>
      </c>
      <c r="AA20" s="9">
        <f t="shared" si="3"/>
        <v>2.3346683534441257</v>
      </c>
      <c r="AB20" s="6"/>
    </row>
    <row r="21" spans="1:28" x14ac:dyDescent="0.2">
      <c r="A21" s="7">
        <v>40424</v>
      </c>
      <c r="B21" s="7"/>
      <c r="C21" s="8">
        <v>9</v>
      </c>
      <c r="D21" s="8">
        <v>7.8</v>
      </c>
      <c r="E21" s="8">
        <v>5.98</v>
      </c>
      <c r="F21" s="9">
        <v>1.0471285480508978</v>
      </c>
      <c r="G21" s="10">
        <v>11.309264897781645</v>
      </c>
      <c r="H21" s="10">
        <v>10.753880266075388</v>
      </c>
      <c r="I21" s="10">
        <v>5.4987212276214832</v>
      </c>
      <c r="J21" s="10">
        <v>33.582834331337324</v>
      </c>
      <c r="K21" s="10">
        <v>7.2427983539094649</v>
      </c>
      <c r="L21" s="10">
        <v>12.933397839058216</v>
      </c>
      <c r="M21" s="10">
        <v>12.637517630465442</v>
      </c>
      <c r="N21" s="10">
        <v>20.258171975848427</v>
      </c>
      <c r="O21" s="10">
        <v>0.13327410039982229</v>
      </c>
      <c r="P21" s="10">
        <v>0.4065040650406504</v>
      </c>
      <c r="Q21" s="10"/>
      <c r="R21" s="10">
        <v>0.13633265167007499</v>
      </c>
      <c r="S21" s="10">
        <v>24.323881330929357</v>
      </c>
      <c r="T21" s="10">
        <v>0.1324939183677816</v>
      </c>
      <c r="U21" s="10">
        <v>0.38389844847227511</v>
      </c>
      <c r="V21" s="10"/>
      <c r="W21" s="10">
        <v>0.13415688181450547</v>
      </c>
      <c r="X21" s="9">
        <f t="shared" si="0"/>
        <v>70.803518024956006</v>
      </c>
      <c r="Y21" s="10">
        <f t="shared" si="1"/>
        <v>69.434627624776198</v>
      </c>
      <c r="Z21" s="9">
        <f t="shared" si="2"/>
        <v>140.23814564973219</v>
      </c>
      <c r="AA21" s="9">
        <f t="shared" si="3"/>
        <v>-1.4828132225729813</v>
      </c>
      <c r="AB21" s="6"/>
    </row>
    <row r="22" spans="1:28" x14ac:dyDescent="0.2">
      <c r="A22" s="7">
        <v>40424</v>
      </c>
      <c r="B22" s="7"/>
      <c r="C22" s="8">
        <v>23</v>
      </c>
      <c r="D22" s="8">
        <v>6.7</v>
      </c>
      <c r="E22" s="8">
        <v>5.84</v>
      </c>
      <c r="F22" s="9">
        <v>1.4454397707459261</v>
      </c>
      <c r="G22" s="10">
        <v>17.616354936929099</v>
      </c>
      <c r="H22" s="10">
        <v>7.1507760532150781</v>
      </c>
      <c r="I22" s="10">
        <v>8.9514066496163682</v>
      </c>
      <c r="J22" s="10">
        <v>16.816367265469061</v>
      </c>
      <c r="K22" s="10">
        <v>5.1851851851851851</v>
      </c>
      <c r="L22" s="10">
        <v>5.9506531204644411</v>
      </c>
      <c r="M22" s="10">
        <v>12.947813822284907</v>
      </c>
      <c r="N22" s="10">
        <v>17.988757026858213</v>
      </c>
      <c r="O22" s="10">
        <v>0.22212350066637049</v>
      </c>
      <c r="P22" s="10">
        <v>1.0840108401084012</v>
      </c>
      <c r="Q22" s="10"/>
      <c r="R22" s="10">
        <v>0.18177686889343331</v>
      </c>
      <c r="S22" s="10">
        <v>22.684805769545978</v>
      </c>
      <c r="T22" s="10">
        <v>0.22033257029794012</v>
      </c>
      <c r="U22" s="10">
        <v>1.0025227330511783</v>
      </c>
      <c r="V22" s="10"/>
      <c r="W22" s="10">
        <v>0.1777965010409937</v>
      </c>
      <c r="X22" s="9">
        <f t="shared" si="0"/>
        <v>60.972681543543651</v>
      </c>
      <c r="Y22" s="10">
        <f t="shared" si="1"/>
        <v>57.165529861160721</v>
      </c>
      <c r="Z22" s="9">
        <f t="shared" si="2"/>
        <v>118.13821140470438</v>
      </c>
      <c r="AA22" s="9">
        <f t="shared" si="3"/>
        <v>-2.7147761151177208</v>
      </c>
      <c r="AB22" s="6"/>
    </row>
    <row r="23" spans="1:28" x14ac:dyDescent="0.2">
      <c r="A23" s="7">
        <v>40437</v>
      </c>
      <c r="B23" s="7"/>
      <c r="C23" s="8">
        <v>18</v>
      </c>
      <c r="D23" s="8">
        <v>25.9</v>
      </c>
      <c r="E23" s="8">
        <v>6.75</v>
      </c>
      <c r="F23" s="9">
        <v>0.17782794100389207</v>
      </c>
      <c r="G23" s="10">
        <v>15.224010439321445</v>
      </c>
      <c r="H23" s="10">
        <v>9.700665188470067</v>
      </c>
      <c r="I23" s="10">
        <v>121.50895140664962</v>
      </c>
      <c r="J23" s="10">
        <v>60.828343313373253</v>
      </c>
      <c r="K23" s="10">
        <v>54.320987654320987</v>
      </c>
      <c r="L23" s="10">
        <v>3.6768263183357526</v>
      </c>
      <c r="M23" s="10">
        <v>55.825105782792662</v>
      </c>
      <c r="N23" s="10">
        <v>34.124505517384968</v>
      </c>
      <c r="O23" s="10">
        <v>1.2216792536650376</v>
      </c>
      <c r="P23" s="10">
        <v>4.9119241192411929</v>
      </c>
      <c r="Q23" s="10"/>
      <c r="R23" s="10">
        <v>5.0443081117927742</v>
      </c>
      <c r="S23" s="10">
        <v>86.903786264546795</v>
      </c>
      <c r="T23" s="10">
        <v>1.2204587948701673</v>
      </c>
      <c r="U23" s="10">
        <v>4.8632912071694987</v>
      </c>
      <c r="V23" s="10"/>
      <c r="W23" s="10">
        <v>5.0304530934918823</v>
      </c>
      <c r="X23" s="9">
        <f t="shared" si="0"/>
        <v>191.64442697859172</v>
      </c>
      <c r="Y23" s="10">
        <f t="shared" si="1"/>
        <v>261.76078594313924</v>
      </c>
      <c r="Z23" s="9">
        <f t="shared" si="2"/>
        <v>453.40521292173094</v>
      </c>
      <c r="AA23" s="9">
        <f t="shared" si="3"/>
        <v>59.351126219738433</v>
      </c>
      <c r="AB23" s="6"/>
    </row>
    <row r="24" spans="1:28" x14ac:dyDescent="0.2">
      <c r="A24" s="7">
        <v>40441</v>
      </c>
      <c r="B24" s="7"/>
      <c r="C24" s="8">
        <v>11</v>
      </c>
      <c r="D24" s="8">
        <v>9.4</v>
      </c>
      <c r="E24" s="8">
        <v>6.34</v>
      </c>
      <c r="F24" s="9">
        <v>0.45708818961487424</v>
      </c>
      <c r="G24" s="10">
        <v>16.963897346672468</v>
      </c>
      <c r="H24" s="10">
        <v>14.689578713968958</v>
      </c>
      <c r="I24" s="10">
        <v>13.810741687979538</v>
      </c>
      <c r="J24" s="10">
        <v>24.800399201596807</v>
      </c>
      <c r="K24" s="10">
        <v>8.5596707818930042</v>
      </c>
      <c r="L24" s="10">
        <v>9.3694565392678602</v>
      </c>
      <c r="M24" s="10">
        <v>15.035260930888574</v>
      </c>
      <c r="N24" s="10">
        <v>15.8859046429315</v>
      </c>
      <c r="O24" s="10">
        <v>0.4220346512661039</v>
      </c>
      <c r="P24" s="10">
        <v>2.1341463414634148</v>
      </c>
      <c r="Q24" s="10">
        <v>0.12318642211880645</v>
      </c>
      <c r="R24" s="10">
        <v>0.56805271529197909</v>
      </c>
      <c r="S24" s="10">
        <v>34.748401901327654</v>
      </c>
      <c r="T24" s="10">
        <v>0.42095263638479502</v>
      </c>
      <c r="U24" s="10">
        <v>2.0806650156476603</v>
      </c>
      <c r="V24" s="10">
        <v>0.12060787154815143</v>
      </c>
      <c r="W24" s="10">
        <v>0.56405947998202721</v>
      </c>
      <c r="X24" s="9">
        <f t="shared" si="0"/>
        <v>78.225309017978205</v>
      </c>
      <c r="Y24" s="10">
        <f t="shared" si="1"/>
        <v>79.281375921725655</v>
      </c>
      <c r="Z24" s="9">
        <f t="shared" si="2"/>
        <v>157.50668493970386</v>
      </c>
      <c r="AA24" s="9">
        <f t="shared" si="3"/>
        <v>0.23291900349847836</v>
      </c>
      <c r="AB24" s="6"/>
    </row>
    <row r="25" spans="1:28" x14ac:dyDescent="0.2">
      <c r="A25" s="7">
        <v>40456</v>
      </c>
      <c r="B25" s="7"/>
      <c r="C25" s="8">
        <v>2.5</v>
      </c>
      <c r="D25" s="8">
        <v>26.6</v>
      </c>
      <c r="E25" s="8">
        <v>5.9</v>
      </c>
      <c r="F25" s="9">
        <v>1.2589254117941642</v>
      </c>
      <c r="G25" s="10">
        <v>54.066985645933016</v>
      </c>
      <c r="H25" s="10">
        <v>63.747228381374725</v>
      </c>
      <c r="I25" s="10">
        <v>17.877237851662404</v>
      </c>
      <c r="J25" s="10">
        <v>66.067864271457083</v>
      </c>
      <c r="K25" s="10">
        <v>18.930041152263374</v>
      </c>
      <c r="L25" s="10">
        <v>83.744557329462992</v>
      </c>
      <c r="M25" s="10">
        <v>58.758815232722142</v>
      </c>
      <c r="N25" s="10">
        <v>48.407245471580261</v>
      </c>
      <c r="O25" s="10">
        <v>0.51088405153265215</v>
      </c>
      <c r="P25" s="10">
        <v>0.3726287262872629</v>
      </c>
      <c r="Q25" s="10"/>
      <c r="R25" s="10">
        <v>1.7950465803226541</v>
      </c>
      <c r="S25" s="10">
        <v>16.964432060317982</v>
      </c>
      <c r="T25" s="10">
        <v>0.50729269428894486</v>
      </c>
      <c r="U25" s="10">
        <v>0.34799272782150581</v>
      </c>
      <c r="V25" s="10"/>
      <c r="W25" s="10">
        <v>1.7607153668254971</v>
      </c>
      <c r="X25" s="9">
        <f t="shared" si="0"/>
        <v>210.49105088301931</v>
      </c>
      <c r="Y25" s="10">
        <f t="shared" si="1"/>
        <v>221.9482827144848</v>
      </c>
      <c r="Z25" s="9">
        <f t="shared" si="2"/>
        <v>432.43933359750412</v>
      </c>
      <c r="AA25" s="9">
        <f t="shared" si="3"/>
        <v>7.2741241654927267</v>
      </c>
      <c r="AB25" s="6"/>
    </row>
    <row r="26" spans="1:28" x14ac:dyDescent="0.2">
      <c r="A26" s="7">
        <v>40457</v>
      </c>
      <c r="B26" s="7"/>
      <c r="C26" s="8">
        <v>3</v>
      </c>
      <c r="D26" s="8">
        <v>18.899999999999999</v>
      </c>
      <c r="E26" s="8">
        <v>6.58</v>
      </c>
      <c r="F26" s="9">
        <v>0.26302679918953792</v>
      </c>
      <c r="G26" s="10">
        <v>16.441931274467162</v>
      </c>
      <c r="H26" s="10">
        <v>28.603104212860313</v>
      </c>
      <c r="I26" s="10">
        <v>5.4475703324808178</v>
      </c>
      <c r="J26" s="10">
        <v>122.30538922155689</v>
      </c>
      <c r="K26" s="10">
        <v>13.086419753086419</v>
      </c>
      <c r="L26" s="10">
        <v>25.62489920980487</v>
      </c>
      <c r="M26" s="10">
        <v>19.971791255289137</v>
      </c>
      <c r="N26" s="10">
        <v>26.608369768894441</v>
      </c>
      <c r="O26" s="10">
        <v>0.11106175033318524</v>
      </c>
      <c r="P26" s="10">
        <v>0.35569105691056913</v>
      </c>
      <c r="Q26" s="10"/>
      <c r="R26" s="10">
        <v>0.18177686889343331</v>
      </c>
      <c r="S26" s="10">
        <v>85.231929191935748</v>
      </c>
      <c r="T26" s="10">
        <v>0.11089772058444007</v>
      </c>
      <c r="U26" s="10">
        <v>0.35050668315887601</v>
      </c>
      <c r="V26" s="10"/>
      <c r="W26" s="10">
        <v>0.18103935028530627</v>
      </c>
      <c r="X26" s="9">
        <f t="shared" si="0"/>
        <v>158.07943317995282</v>
      </c>
      <c r="Y26" s="10">
        <f t="shared" si="1"/>
        <v>186.14744159364116</v>
      </c>
      <c r="Z26" s="9">
        <f t="shared" si="2"/>
        <v>344.22687477359398</v>
      </c>
      <c r="AA26" s="9">
        <f t="shared" si="3"/>
        <v>6.4906233621691873</v>
      </c>
      <c r="AB26" s="6"/>
    </row>
    <row r="28" spans="1:28" ht="19" x14ac:dyDescent="0.2">
      <c r="A28" s="2" t="s">
        <v>62</v>
      </c>
      <c r="B28" s="2"/>
      <c r="C28" s="12" t="s">
        <v>4</v>
      </c>
      <c r="D28" s="15" t="s">
        <v>10</v>
      </c>
      <c r="E28" s="15" t="s">
        <v>12</v>
      </c>
      <c r="F28" s="15" t="s">
        <v>14</v>
      </c>
      <c r="G28" s="15" t="s">
        <v>87</v>
      </c>
      <c r="H28" s="15" t="s">
        <v>18</v>
      </c>
      <c r="I28" s="15" t="s">
        <v>20</v>
      </c>
      <c r="J28" s="15" t="s">
        <v>0</v>
      </c>
      <c r="K28" s="15" t="s">
        <v>23</v>
      </c>
      <c r="L28" s="15" t="s">
        <v>25</v>
      </c>
      <c r="M28" s="15" t="s">
        <v>27</v>
      </c>
      <c r="N28" s="12" t="s">
        <v>88</v>
      </c>
      <c r="O28" s="12" t="s">
        <v>90</v>
      </c>
      <c r="P28" s="12" t="s">
        <v>91</v>
      </c>
      <c r="Q28" s="12" t="s">
        <v>92</v>
      </c>
      <c r="R28" s="16" t="s">
        <v>89</v>
      </c>
    </row>
    <row r="29" spans="1:28" x14ac:dyDescent="0.2">
      <c r="A29" s="7">
        <v>40355</v>
      </c>
      <c r="B29" s="7"/>
      <c r="C29" s="13">
        <v>35</v>
      </c>
      <c r="D29" s="17">
        <f>(H10*18.0385/1000)*(14/18.0385)</f>
        <v>0.31274944567627494</v>
      </c>
      <c r="E29" s="17">
        <f>((J10/2)*40.078)/1000</f>
        <v>1.5569223053892218</v>
      </c>
      <c r="F29" s="17">
        <f>(M10*34.453)/1000</f>
        <v>1.4626732016925248</v>
      </c>
      <c r="G29" s="13">
        <v>23.9</v>
      </c>
      <c r="H29" s="17">
        <f>((K10/2)*24.305)/1000</f>
        <v>0.29706111111111105</v>
      </c>
      <c r="I29" s="17">
        <f>(L10*62.0049/1000)*(14/62.0049)</f>
        <v>3.7477826157071438E-2</v>
      </c>
      <c r="J29" s="13">
        <v>6.43</v>
      </c>
      <c r="K29" s="17">
        <f>(I10*39.0983)/1000</f>
        <v>1.3889396086956523</v>
      </c>
      <c r="L29" s="17">
        <f>(G10*22.989)/1000</f>
        <v>1.6509281861678993</v>
      </c>
      <c r="M29" s="17">
        <f>((N10/2)*96/1000)*(32/96)</f>
        <v>1.0296897772225688</v>
      </c>
      <c r="N29" s="17">
        <f>(O10*45.02)/1000</f>
        <v>5.7000000000000009E-2</v>
      </c>
      <c r="O29" s="17">
        <f>(P10*59.04)/1000</f>
        <v>0.22600000000000001</v>
      </c>
      <c r="P29" s="17">
        <f>(Q10*73.06)/1000</f>
        <v>5.6000000000000001E-2</v>
      </c>
      <c r="Q29" s="17">
        <f>(R10*44.01)/1000</f>
        <v>4.5999999999999999E-2</v>
      </c>
      <c r="R29" s="17">
        <f>(S10*61.01564)/1000</f>
        <v>5.634520828716604</v>
      </c>
    </row>
    <row r="30" spans="1:28" x14ac:dyDescent="0.2">
      <c r="A30" s="7">
        <v>40361</v>
      </c>
      <c r="B30" s="7"/>
      <c r="C30" s="13">
        <v>9.5</v>
      </c>
      <c r="D30" s="17">
        <f>(H11*18.0385/1000)*(14/18.0385)</f>
        <v>0.18625277161862527</v>
      </c>
      <c r="E30" s="17">
        <f>((J11/2)*40.078)/1000</f>
        <v>1.0209490518962077</v>
      </c>
      <c r="F30" s="17">
        <f>(M11*34.453)/1000</f>
        <v>1.9797111706629058</v>
      </c>
      <c r="G30" s="13">
        <v>32.5</v>
      </c>
      <c r="H30" s="17">
        <f>((K11/2)*24.305)/1000</f>
        <v>0.20104135802469134</v>
      </c>
      <c r="I30" s="17">
        <f>(L11*62.0049/1000)*(14/62.0049)</f>
        <v>0.18287373004354135</v>
      </c>
      <c r="J30" s="13">
        <v>6.6</v>
      </c>
      <c r="K30" s="17">
        <f>(I11*39.0983)/1000</f>
        <v>1.1289509130434783</v>
      </c>
      <c r="L30" s="17">
        <f>(G11*22.989)/1000</f>
        <v>1.3459414528055678</v>
      </c>
      <c r="M30" s="17">
        <f>((N11/2)*96/1000)*(32/96)</f>
        <v>0.55931709348323966</v>
      </c>
      <c r="N30" s="17">
        <f>(O11*45.02)/1000</f>
        <v>2.5000000000000001E-2</v>
      </c>
      <c r="O30" s="17">
        <f>(P11*59.04)/1000</f>
        <v>0.12000000000000001</v>
      </c>
      <c r="P30" s="17">
        <f>(Q11*73.06)/1000</f>
        <v>6.0000000000000001E-3</v>
      </c>
      <c r="Q30" s="17">
        <f>(R11*44.01)/1000</f>
        <v>2.5999999999999999E-2</v>
      </c>
      <c r="R30" s="17">
        <f>(S11*61.01564)/1000</f>
        <v>2.5232332358629734</v>
      </c>
    </row>
    <row r="31" spans="1:28" x14ac:dyDescent="0.2">
      <c r="A31" s="7">
        <v>40368</v>
      </c>
      <c r="B31" s="7"/>
      <c r="C31" s="13">
        <v>11</v>
      </c>
      <c r="D31" s="17">
        <f>(H12*18.0385/1000)*(14/18.0385)</f>
        <v>0.10631929046563195</v>
      </c>
      <c r="E31" s="17">
        <f>((J12/2)*40.078)/1000</f>
        <v>0.24398782435129743</v>
      </c>
      <c r="F31" s="17">
        <f>(M12*34.453)/1000</f>
        <v>0.24977210155148097</v>
      </c>
      <c r="G31" s="13">
        <v>5.0999999999999996</v>
      </c>
      <c r="H31" s="17">
        <f>((K12/2)*24.305)/1000</f>
        <v>5.1010493827160497E-2</v>
      </c>
      <c r="I31" s="17">
        <f>(L12*62.0049/1000)*(14/62.0049)</f>
        <v>6.2764070311240136E-2</v>
      </c>
      <c r="J31" s="13">
        <v>6.25</v>
      </c>
      <c r="K31" s="17">
        <f>(I12*39.0983)/1000</f>
        <v>0.3009869130434783</v>
      </c>
      <c r="L31" s="17">
        <f>(G12*22.989)/1000</f>
        <v>0.14999347542409744</v>
      </c>
      <c r="M31" s="17">
        <f>((N12/2)*96/1000)*(32/96)</f>
        <v>7.5952529668956881E-2</v>
      </c>
      <c r="N31" s="17">
        <f>(O12*45.02)/1000</f>
        <v>1.2999999999999998E-2</v>
      </c>
      <c r="O31" s="17">
        <f>(P12*59.04)/1000</f>
        <v>8.1000000000000003E-2</v>
      </c>
      <c r="P31" s="17">
        <f>(Q12*73.06)/1000</f>
        <v>7.0000000000000001E-3</v>
      </c>
      <c r="Q31" s="17">
        <f>(R12*44.01)/1000</f>
        <v>3.5000000000000003E-2</v>
      </c>
      <c r="R31" s="17">
        <f>(S12*61.01564)/1000</f>
        <v>1.5381421786592362</v>
      </c>
      <c r="S31">
        <f>12.011+1.00764+15.999*3</f>
        <v>61.015639999999998</v>
      </c>
    </row>
    <row r="32" spans="1:28" x14ac:dyDescent="0.2">
      <c r="A32" s="7">
        <v>40375</v>
      </c>
      <c r="B32" s="7"/>
      <c r="C32" s="14">
        <v>38</v>
      </c>
      <c r="D32" s="17">
        <f>(H13*18.0385/1000)*(14/18.0385)</f>
        <v>1.7073170731707315E-2</v>
      </c>
      <c r="E32" s="17">
        <f>((J13/2)*40.078)/1000</f>
        <v>0.34098298403193622</v>
      </c>
      <c r="F32" s="17">
        <f>(M13*34.453)/1000</f>
        <v>0.33821280677009874</v>
      </c>
      <c r="G32" s="13">
        <v>3.9</v>
      </c>
      <c r="H32" s="17">
        <f>((K13/2)*24.305)/1000</f>
        <v>6.5013374485596714E-2</v>
      </c>
      <c r="I32" s="17">
        <f>(L13*62.0049/1000)*(14/62.0049)</f>
        <v>1.4223512336719885E-2</v>
      </c>
      <c r="J32" s="13">
        <v>6.09</v>
      </c>
      <c r="K32" s="17">
        <f>(I13*39.0983)/1000</f>
        <v>0.25798878260869568</v>
      </c>
      <c r="L32" s="17">
        <f>(G13*22.989)/1000</f>
        <v>0.24898916920400174</v>
      </c>
      <c r="M32" s="17">
        <f>((N13/2)*96/1000)*(32/96)</f>
        <v>8.6612533833021033E-2</v>
      </c>
      <c r="N32" s="17">
        <f>(O13*45.02)/1000</f>
        <v>7.0000000000000001E-3</v>
      </c>
      <c r="O32" s="17">
        <f>(P13*59.04)/1000</f>
        <v>5.1999999999999998E-2</v>
      </c>
      <c r="P32" s="17">
        <f>(Q13*73.06)/1000</f>
        <v>1.7000000000000001E-2</v>
      </c>
      <c r="Q32" s="17">
        <f>(R13*44.01)/1000</f>
        <v>0.01</v>
      </c>
      <c r="R32" s="17">
        <f>(S13*61.01564)/1000</f>
        <v>1.6111489270611377</v>
      </c>
    </row>
    <row r="33" spans="1:18" x14ac:dyDescent="0.2">
      <c r="A33" s="7">
        <v>40400</v>
      </c>
      <c r="B33" s="7"/>
      <c r="C33" s="14">
        <v>7.5</v>
      </c>
      <c r="D33" s="17">
        <f>(H14*18.0385/1000)*(14/18.0385)</f>
        <v>0.18547671840354768</v>
      </c>
      <c r="E33" s="17">
        <f>((J14/2)*40.078)/1000</f>
        <v>1.5449229041916168</v>
      </c>
      <c r="F33" s="17">
        <f>(M14*34.453)/1000</f>
        <v>0.52967235543018332</v>
      </c>
      <c r="G33" s="13">
        <v>13</v>
      </c>
      <c r="H33" s="17">
        <f>((K14/2)*24.305)/1000</f>
        <v>0.15803251028806586</v>
      </c>
      <c r="I33" s="17">
        <f>(L14*62.0049/1000)*(14/62.0049)</f>
        <v>0.30998226092565717</v>
      </c>
      <c r="J33" s="13">
        <v>6.28</v>
      </c>
      <c r="K33" s="17">
        <f>(I14*39.0983)/1000</f>
        <v>0.34898482608695652</v>
      </c>
      <c r="L33" s="17">
        <f>(G14*22.989)/1000</f>
        <v>0.46297986080904746</v>
      </c>
      <c r="M33" s="17">
        <f>((N14/2)*96/1000)*(32/96)</f>
        <v>0.31646887362065373</v>
      </c>
      <c r="N33" s="17">
        <f>(O14*45.02)/1000</f>
        <v>1.6E-2</v>
      </c>
      <c r="O33" s="17">
        <f>(P14*59.04)/1000</f>
        <v>8.4000000000000005E-2</v>
      </c>
      <c r="P33" s="17">
        <f>(Q14*73.06)/1000</f>
        <v>1.7000000000000001E-2</v>
      </c>
      <c r="Q33" s="17">
        <f>(R14*44.01)/1000</f>
        <v>1.5999999999999997E-2</v>
      </c>
      <c r="R33" s="17">
        <f>(S14*61.01564)/1000</f>
        <v>3.5283261419439436</v>
      </c>
    </row>
    <row r="34" spans="1:18" x14ac:dyDescent="0.2">
      <c r="A34" s="7">
        <v>40403</v>
      </c>
      <c r="B34" s="7"/>
      <c r="C34" s="13">
        <v>23</v>
      </c>
      <c r="D34" s="17">
        <f>(H15*18.0385/1000)*(14/18.0385)</f>
        <v>3.8026607538802659E-2</v>
      </c>
      <c r="E34" s="17">
        <f>((J15/2)*40.078)/1000</f>
        <v>0.37098148702594813</v>
      </c>
      <c r="F34" s="17">
        <f>(M15*34.453)/1000</f>
        <v>0.49371294781382224</v>
      </c>
      <c r="G34" s="13">
        <v>6.1</v>
      </c>
      <c r="H34" s="17">
        <f>((K15/2)*24.305)/1000</f>
        <v>4.3008847736625513E-2</v>
      </c>
      <c r="I34" s="17">
        <f>(L15*62.0049/1000)*(14/62.0049)</f>
        <v>5.8248669569424295E-2</v>
      </c>
      <c r="J34" s="13">
        <v>6.06</v>
      </c>
      <c r="K34" s="17">
        <f>(I15*39.0983)/1000</f>
        <v>0.32698578260869565</v>
      </c>
      <c r="L34" s="17">
        <f>(G15*22.989)/1000</f>
        <v>0.38198338408003485</v>
      </c>
      <c r="M34" s="17">
        <f>((N15/2)*96/1000)*(32/96)</f>
        <v>0.13158442640016657</v>
      </c>
      <c r="N34" s="17">
        <f>(O15*45.02)/1000</f>
        <v>0.02</v>
      </c>
      <c r="O34" s="17">
        <f>(P15*59.04)/1000</f>
        <v>6.8000000000000005E-2</v>
      </c>
      <c r="P34" s="17">
        <f>(Q15*73.06)/1000</f>
        <v>1.5999999999999997E-2</v>
      </c>
      <c r="Q34" s="17">
        <f>(R15*44.01)/1000</f>
        <v>1.2E-2</v>
      </c>
      <c r="R34" s="17">
        <f>(S15*61.01564)/1000</f>
        <v>1.3591256312079989</v>
      </c>
    </row>
    <row r="35" spans="1:18" x14ac:dyDescent="0.2">
      <c r="A35" s="7">
        <v>40407</v>
      </c>
      <c r="B35" s="7"/>
      <c r="C35" s="13">
        <v>24</v>
      </c>
      <c r="D35" s="17">
        <f>(H16*18.0385/1000)*(14/18.0385)</f>
        <v>9.3126385809312647E-3</v>
      </c>
      <c r="E35" s="17">
        <f>((J16/2)*40.078)/1000</f>
        <v>1.1489426646706589</v>
      </c>
      <c r="F35" s="17">
        <f>(M16*34.453)/1000</f>
        <v>2.0827300141043725</v>
      </c>
      <c r="G35" s="13">
        <v>20.8</v>
      </c>
      <c r="H35" s="17">
        <f>((K16/2)*24.305)/1000</f>
        <v>0.17103518518518518</v>
      </c>
      <c r="I35" s="17">
        <f>(L16*62.0049/1000)*(14/62.0049)</f>
        <v>0.20138687308498632</v>
      </c>
      <c r="J35" s="13">
        <v>6.31</v>
      </c>
      <c r="K35" s="17">
        <f>(I16*39.0983)/1000</f>
        <v>1.2859440869565217</v>
      </c>
      <c r="L35" s="17">
        <f>(G16*22.989)/1000</f>
        <v>1.826920530665507</v>
      </c>
      <c r="M35" s="17">
        <f>((N16/2)*96/1000)*(32/96)</f>
        <v>0.52167395377888814</v>
      </c>
      <c r="N35" s="17">
        <f>(O16*45.02)/1000</f>
        <v>6.8000000000000005E-2</v>
      </c>
      <c r="O35" s="17">
        <f>(P16*59.04)/1000</f>
        <v>0.22500000000000001</v>
      </c>
      <c r="P35" s="17">
        <f>(Q16*73.06)/1000</f>
        <v>6.3E-2</v>
      </c>
      <c r="Q35" s="17">
        <f>(R16*44.01)/1000</f>
        <v>3.5999999999999997E-2</v>
      </c>
      <c r="R35" s="17">
        <f>(S16*61.01564)/1000</f>
        <v>4.2493927939682017</v>
      </c>
    </row>
    <row r="36" spans="1:18" x14ac:dyDescent="0.2">
      <c r="A36" s="7">
        <v>40408</v>
      </c>
      <c r="B36" s="7"/>
      <c r="C36" s="13">
        <v>22</v>
      </c>
      <c r="D36" s="17">
        <f>(H17*18.0385/1000)*(14/18.0385)</f>
        <v>7.0620842572062095E-2</v>
      </c>
      <c r="E36" s="17">
        <f>((J17/2)*40.078)/1000</f>
        <v>0.4489775948103793</v>
      </c>
      <c r="F36" s="17">
        <f>(M17*34.453)/1000</f>
        <v>0.13606262341325812</v>
      </c>
      <c r="G36" s="13">
        <v>3.9</v>
      </c>
      <c r="H36" s="17">
        <f>((K17/2)*24.305)/1000</f>
        <v>4.4009053497942381E-2</v>
      </c>
      <c r="I36" s="17">
        <f>(L17*62.0049/1000)*(14/62.0049)</f>
        <v>0.1158200290275762</v>
      </c>
      <c r="J36" s="13">
        <v>5.94</v>
      </c>
      <c r="K36" s="17">
        <f>(I17*39.0983)/1000</f>
        <v>7.399678260869566E-2</v>
      </c>
      <c r="L36" s="17">
        <f>(G17*22.989)/1000</f>
        <v>9.1995998260113107E-2</v>
      </c>
      <c r="M36" s="17">
        <f>((N17/2)*96/1000)*(32/96)</f>
        <v>0.14790755777638975</v>
      </c>
      <c r="N36" s="17">
        <f>(O17*45.02)/1000</f>
        <v>8.0000000000000002E-3</v>
      </c>
      <c r="O36" s="17">
        <f>(P17*59.04)/1000</f>
        <v>3.6999999999999998E-2</v>
      </c>
      <c r="P36" s="17"/>
      <c r="Q36" s="17">
        <f>(R17*44.01)/1000</f>
        <v>5.0000000000000001E-3</v>
      </c>
      <c r="R36" s="17">
        <f>(S17*61.01564)/1000</f>
        <v>1.3291228578921488</v>
      </c>
    </row>
    <row r="37" spans="1:18" x14ac:dyDescent="0.2">
      <c r="A37" s="7">
        <v>40416</v>
      </c>
      <c r="B37" s="7"/>
      <c r="C37" s="13">
        <v>4.5</v>
      </c>
      <c r="D37" s="17">
        <f>(H18*18.0385/1000)*(14/18.0385)</f>
        <v>9.5454545454545459E-2</v>
      </c>
      <c r="E37" s="17">
        <f>((J18/2)*40.078)/1000</f>
        <v>0.71296442115768477</v>
      </c>
      <c r="F37" s="17">
        <f>(M18*34.453)/1000</f>
        <v>0.46261291960507761</v>
      </c>
      <c r="G37" s="13">
        <v>9.1999999999999993</v>
      </c>
      <c r="H37" s="17">
        <f>((K18/2)*24.305)/1000</f>
        <v>7.9016255144032932E-2</v>
      </c>
      <c r="I37" s="17">
        <f>(L18*62.0049/1000)*(14/62.0049)</f>
        <v>2.6866634413804224E-2</v>
      </c>
      <c r="J37" s="13">
        <v>6.27</v>
      </c>
      <c r="K37" s="17">
        <f>(I18*39.0983)/1000</f>
        <v>0.34498499999999993</v>
      </c>
      <c r="L37" s="17">
        <f>(G18*22.989)/1000</f>
        <v>0.40298247063940845</v>
      </c>
      <c r="M37" s="17">
        <f>((N18/2)*96/1000)*(32/96)</f>
        <v>0.1788881948782011</v>
      </c>
      <c r="N37" s="17">
        <f>(O18*45.02)/1000</f>
        <v>3.1E-2</v>
      </c>
      <c r="O37" s="17">
        <f>(P18*59.04)/1000</f>
        <v>8.5000000000000006E-2</v>
      </c>
      <c r="P37" s="17"/>
      <c r="Q37" s="17">
        <f>(R18*44.01)/1000</f>
        <v>2.1000000000000001E-2</v>
      </c>
      <c r="R37" s="17">
        <f>(S18*61.01564)/1000</f>
        <v>3.4703207801999669</v>
      </c>
    </row>
    <row r="38" spans="1:18" x14ac:dyDescent="0.2">
      <c r="A38" s="7">
        <v>40420</v>
      </c>
      <c r="B38" s="7"/>
      <c r="C38" s="13">
        <v>6.5</v>
      </c>
      <c r="D38" s="17">
        <f>(H19*18.0385/1000)*(14/18.0385)</f>
        <v>0.11019955654101997</v>
      </c>
      <c r="E38" s="17">
        <f>((J19/2)*40.078)/1000</f>
        <v>0.95495234530938133</v>
      </c>
      <c r="F38" s="17">
        <f>(M19*34.453)/1000</f>
        <v>0.78916321579689719</v>
      </c>
      <c r="G38" s="13">
        <v>11.1</v>
      </c>
      <c r="H38" s="17">
        <f>((K19/2)*24.305)/1000</f>
        <v>0.15703230452674896</v>
      </c>
      <c r="I38" s="17">
        <f>(L19*62.0049/1000)*(14/62.0049)</f>
        <v>0.23457506853733268</v>
      </c>
      <c r="J38" s="13">
        <v>6.39</v>
      </c>
      <c r="K38" s="17">
        <f>(I19*39.0983)/1000</f>
        <v>0.34698491304347823</v>
      </c>
      <c r="L38" s="17">
        <f>(G19*22.989)/1000</f>
        <v>0.6589713353632014</v>
      </c>
      <c r="M38" s="17">
        <f>((N19/2)*96/1000)*(32/96)</f>
        <v>0.31113887153862163</v>
      </c>
      <c r="N38" s="17">
        <f>(O19*45.02)/1000</f>
        <v>7.0000000000000001E-3</v>
      </c>
      <c r="O38" s="17">
        <f>(P19*59.04)/1000</f>
        <v>4.2000000000000003E-2</v>
      </c>
      <c r="P38" s="17"/>
      <c r="Q38" s="17">
        <f>(R19*44.01)/1000</f>
        <v>7.000000000000001E-3</v>
      </c>
      <c r="R38" s="17">
        <f>(S19*61.01564)/1000</f>
        <v>2.1361974600885101</v>
      </c>
    </row>
    <row r="39" spans="1:18" x14ac:dyDescent="0.2">
      <c r="A39" s="7">
        <v>40420</v>
      </c>
      <c r="B39" s="7"/>
      <c r="C39" s="13">
        <v>16</v>
      </c>
      <c r="D39" s="17">
        <f>(H20*18.0385/1000)*(14/18.0385)</f>
        <v>3.1042128603104211E-2</v>
      </c>
      <c r="E39" s="17">
        <f>((J20/2)*40.078)/1000</f>
        <v>0.39398033932135734</v>
      </c>
      <c r="F39" s="17">
        <f>(M20*34.453)/1000</f>
        <v>0.33529717912552892</v>
      </c>
      <c r="G39" s="13">
        <v>5.2</v>
      </c>
      <c r="H39" s="17">
        <f>((K20/2)*24.305)/1000</f>
        <v>6.6013580246913575E-2</v>
      </c>
      <c r="I39" s="17">
        <f>(L20*62.0049/1000)*(14/62.0049)</f>
        <v>2.077084341235285E-2</v>
      </c>
      <c r="J39" s="13">
        <v>5.99</v>
      </c>
      <c r="K39" s="17">
        <f>(I20*39.0983)/1000</f>
        <v>0.22599017391304346</v>
      </c>
      <c r="L39" s="17">
        <f>(G20*22.989)/1000</f>
        <v>0.33098560243584169</v>
      </c>
      <c r="M39" s="17">
        <f>((N20/2)*96/1000)*(32/96)</f>
        <v>0.13225067666042056</v>
      </c>
      <c r="N39" s="17">
        <f>(O20*45.02)/1000</f>
        <v>1.2999999999999998E-2</v>
      </c>
      <c r="O39" s="17">
        <f>(P20*59.04)/1000</f>
        <v>8.7999999999999995E-2</v>
      </c>
      <c r="P39" s="17"/>
      <c r="Q39" s="17">
        <f>(R20*44.01)/1000</f>
        <v>7.000000000000001E-3</v>
      </c>
      <c r="R39" s="17">
        <f>(S20*61.01564)/1000</f>
        <v>1.3711267405343388</v>
      </c>
    </row>
    <row r="40" spans="1:18" x14ac:dyDescent="0.2">
      <c r="A40" s="7">
        <v>40424</v>
      </c>
      <c r="B40" s="7"/>
      <c r="C40" s="13">
        <v>9</v>
      </c>
      <c r="D40" s="17">
        <f>(H21*18.0385/1000)*(14/18.0385)</f>
        <v>0.15055432372505542</v>
      </c>
      <c r="E40" s="17">
        <f>((J21/2)*40.078)/1000</f>
        <v>0.67296641716566863</v>
      </c>
      <c r="F40" s="17">
        <f>(M21*34.453)/1000</f>
        <v>0.43540039492242588</v>
      </c>
      <c r="G40" s="13">
        <v>7.8</v>
      </c>
      <c r="H40" s="17">
        <f>((K21/2)*24.305)/1000</f>
        <v>8.8018106995884762E-2</v>
      </c>
      <c r="I40" s="17">
        <f>(L21*62.0049/1000)*(14/62.0049)</f>
        <v>0.18106756974681501</v>
      </c>
      <c r="J40" s="13">
        <v>5.98</v>
      </c>
      <c r="K40" s="17">
        <f>(I21*39.0983)/1000</f>
        <v>0.21499065217391305</v>
      </c>
      <c r="L40" s="17">
        <f>(G21*22.989)/1000</f>
        <v>0.25998869073510222</v>
      </c>
      <c r="M40" s="17">
        <f>((N21/2)*96/1000)*(32/96)</f>
        <v>0.3241307516135748</v>
      </c>
      <c r="N40" s="17">
        <f>(O21*45.02)/1000</f>
        <v>6.0000000000000001E-3</v>
      </c>
      <c r="O40" s="17">
        <f>(P21*59.04)/1000</f>
        <v>2.4E-2</v>
      </c>
      <c r="P40" s="17"/>
      <c r="Q40" s="17">
        <f>(R21*44.01)/1000</f>
        <v>6.0000000000000001E-3</v>
      </c>
      <c r="R40" s="17">
        <f>(S21*61.01564)/1000</f>
        <v>1.4841371866907063</v>
      </c>
    </row>
    <row r="41" spans="1:18" x14ac:dyDescent="0.2">
      <c r="A41" s="7">
        <v>40424</v>
      </c>
      <c r="B41" s="7"/>
      <c r="C41" s="13">
        <v>23</v>
      </c>
      <c r="D41" s="17">
        <f>(H22*18.0385/1000)*(14/18.0385)</f>
        <v>0.10011086474501109</v>
      </c>
      <c r="E41" s="17">
        <f>((J22/2)*40.078)/1000</f>
        <v>0.33698318363273455</v>
      </c>
      <c r="F41" s="17">
        <f>(M22*34.453)/1000</f>
        <v>0.44609102961918196</v>
      </c>
      <c r="G41" s="13">
        <v>6.7</v>
      </c>
      <c r="H41" s="17">
        <f>((K22/2)*24.305)/1000</f>
        <v>6.3012962962962965E-2</v>
      </c>
      <c r="I41" s="17">
        <f>(L22*62.0049/1000)*(14/62.0049)</f>
        <v>8.3309143686502177E-2</v>
      </c>
      <c r="J41" s="13">
        <v>5.84</v>
      </c>
      <c r="K41" s="17">
        <f>(I22*39.0983)/1000</f>
        <v>0.34998478260869564</v>
      </c>
      <c r="L41" s="17">
        <f>(G22*22.989)/1000</f>
        <v>0.40498238364506306</v>
      </c>
      <c r="M41" s="17">
        <f>((N22/2)*96/1000)*(32/96)</f>
        <v>0.28782011242973138</v>
      </c>
      <c r="N41" s="17">
        <f>(O22*45.02)/1000</f>
        <v>0.01</v>
      </c>
      <c r="O41" s="17">
        <f>(P22*59.04)/1000</f>
        <v>6.4000000000000001E-2</v>
      </c>
      <c r="P41" s="17"/>
      <c r="Q41" s="17">
        <f>(R22*44.01)/1000</f>
        <v>7.9999999999999984E-3</v>
      </c>
      <c r="R41" s="17">
        <f>(S22*61.01564)/1000</f>
        <v>1.3841279423045403</v>
      </c>
    </row>
    <row r="42" spans="1:18" x14ac:dyDescent="0.2">
      <c r="A42" s="7">
        <v>40437</v>
      </c>
      <c r="B42" s="7"/>
      <c r="C42" s="13">
        <v>18</v>
      </c>
      <c r="D42" s="17">
        <f>(H23*18.0385/1000)*(14/18.0385)</f>
        <v>0.13580931263858093</v>
      </c>
      <c r="E42" s="17">
        <f>((J23/2)*40.078)/1000</f>
        <v>1.2189391716566869</v>
      </c>
      <c r="F42" s="17">
        <f>(M23*34.453)/1000</f>
        <v>1.9233423695345557</v>
      </c>
      <c r="G42" s="13">
        <v>25.9</v>
      </c>
      <c r="H42" s="17">
        <f>((K23/2)*24.305)/1000</f>
        <v>0.66013580246913584</v>
      </c>
      <c r="I42" s="17">
        <f>(L23*62.0049/1000)*(14/62.0049)</f>
        <v>5.1475568456700538E-2</v>
      </c>
      <c r="J42" s="13">
        <v>6.75</v>
      </c>
      <c r="K42" s="17">
        <f>(I23*39.0983)/1000</f>
        <v>4.7507934347826088</v>
      </c>
      <c r="L42" s="17">
        <f>(G23*22.989)/1000</f>
        <v>0.34998477598956074</v>
      </c>
      <c r="M42" s="17">
        <f>((N23/2)*96/1000)*(32/96)</f>
        <v>0.54599208827815948</v>
      </c>
      <c r="N42" s="17">
        <f>(O23*45.02)/1000</f>
        <v>5.5E-2</v>
      </c>
      <c r="O42" s="17">
        <f>(P23*59.04)/1000</f>
        <v>0.28999999999999998</v>
      </c>
      <c r="P42" s="17"/>
      <c r="Q42" s="17">
        <f>(R23*44.01)/1000</f>
        <v>0.22199999999999998</v>
      </c>
      <c r="R42" s="17">
        <f>(S23*61.01564)/1000</f>
        <v>5.3024901373545319</v>
      </c>
    </row>
    <row r="43" spans="1:18" x14ac:dyDescent="0.2">
      <c r="A43" s="7">
        <v>40441</v>
      </c>
      <c r="B43" s="7"/>
      <c r="C43" s="13">
        <v>11</v>
      </c>
      <c r="D43" s="17">
        <f>(H24*18.0385/1000)*(14/18.0385)</f>
        <v>0.20565410199556536</v>
      </c>
      <c r="E43" s="17">
        <f>((J24/2)*40.078)/1000</f>
        <v>0.4969751996007985</v>
      </c>
      <c r="F43" s="17">
        <f>(M24*34.453)/1000</f>
        <v>0.51800984485190404</v>
      </c>
      <c r="G43" s="13">
        <v>9.4</v>
      </c>
      <c r="H43" s="17">
        <f>((K24/2)*24.305)/1000</f>
        <v>0.10402139917695473</v>
      </c>
      <c r="I43" s="17">
        <f>(L24*62.0049/1000)*(14/62.0049)</f>
        <v>0.13117239154975005</v>
      </c>
      <c r="J43" s="13">
        <v>6.34</v>
      </c>
      <c r="K43" s="17">
        <f>(I24*39.0983)/1000</f>
        <v>0.53997652173913036</v>
      </c>
      <c r="L43" s="17">
        <f>(G24*22.989)/1000</f>
        <v>0.38998303610265339</v>
      </c>
      <c r="M43" s="17">
        <f>((N24/2)*96/1000)*(32/96)</f>
        <v>0.25417447428690398</v>
      </c>
      <c r="N43" s="17">
        <f>(O24*45.02)/1000</f>
        <v>1.9E-2</v>
      </c>
      <c r="O43" s="17">
        <f>(P24*59.04)/1000</f>
        <v>0.126</v>
      </c>
      <c r="P43" s="17">
        <f>(Q24*73.06)/1000</f>
        <v>8.9999999999999993E-3</v>
      </c>
      <c r="Q43" s="17">
        <f>(R24*44.01)/1000</f>
        <v>2.5000000000000001E-2</v>
      </c>
      <c r="R43" s="17">
        <f>(S24*61.01564)/1000</f>
        <v>2.1201959809867237</v>
      </c>
    </row>
    <row r="44" spans="1:18" x14ac:dyDescent="0.2">
      <c r="A44" s="7">
        <v>40456</v>
      </c>
      <c r="B44" s="7"/>
      <c r="C44" s="13">
        <v>2.5</v>
      </c>
      <c r="D44" s="17">
        <f>(H25*18.0385/1000)*(14/18.0385)</f>
        <v>0.89246119733924612</v>
      </c>
      <c r="E44" s="17">
        <f>((J25/2)*40.078)/1000</f>
        <v>1.3239339321357286</v>
      </c>
      <c r="F44" s="17">
        <f>(M25*34.453)/1000</f>
        <v>2.0244174612129759</v>
      </c>
      <c r="G44" s="13">
        <v>26.6</v>
      </c>
      <c r="H44" s="17">
        <f>((K25/2)*24.305)/1000</f>
        <v>0.23004732510288065</v>
      </c>
      <c r="I44" s="17">
        <f>(L25*62.0049/1000)*(14/62.0049)</f>
        <v>1.172423802612482</v>
      </c>
      <c r="J44" s="13">
        <v>5.9</v>
      </c>
      <c r="K44" s="17">
        <f>(I25*39.0983)/1000</f>
        <v>0.69896960869565217</v>
      </c>
      <c r="L44" s="17">
        <f>(G25*22.989)/1000</f>
        <v>1.242945933014354</v>
      </c>
      <c r="M44" s="17">
        <f>((N25/2)*96/1000)*(32/96)</f>
        <v>0.7745159275452842</v>
      </c>
      <c r="N44" s="17">
        <f>(O25*45.02)/1000</f>
        <v>2.3E-2</v>
      </c>
      <c r="O44" s="17">
        <f>(P25*59.04)/1000</f>
        <v>2.1999999999999999E-2</v>
      </c>
      <c r="P44" s="17"/>
      <c r="Q44" s="17">
        <f>(R25*44.01)/1000</f>
        <v>7.9000000000000001E-2</v>
      </c>
      <c r="R44" s="17">
        <f>(S25*61.01564)/1000</f>
        <v>1.0350956793968202</v>
      </c>
    </row>
    <row r="45" spans="1:18" x14ac:dyDescent="0.2">
      <c r="A45" s="7">
        <v>40457</v>
      </c>
      <c r="B45" s="7"/>
      <c r="C45" s="13">
        <v>3</v>
      </c>
      <c r="D45" s="17">
        <f>(H26*18.0385/1000)*(14/18.0385)</f>
        <v>0.40044345898004435</v>
      </c>
      <c r="E45" s="17">
        <f>((J26/2)*40.078)/1000</f>
        <v>2.4508776946107789</v>
      </c>
      <c r="F45" s="17">
        <f>(M26*34.453)/1000</f>
        <v>0.68808812411847664</v>
      </c>
      <c r="G45" s="13">
        <v>18.899999999999999</v>
      </c>
      <c r="H45" s="17">
        <f>((K26/2)*24.305)/1000</f>
        <v>0.15903271604938271</v>
      </c>
      <c r="I45" s="17">
        <f>(L26*62.0049/1000)*(14/62.0049)</f>
        <v>0.35874858893726819</v>
      </c>
      <c r="J45" s="13">
        <v>6.58</v>
      </c>
      <c r="K45" s="17">
        <f>(I26*39.0983)/1000</f>
        <v>0.21299073913043479</v>
      </c>
      <c r="L45" s="17">
        <f>(G26*22.989)/1000</f>
        <v>0.37798355806872558</v>
      </c>
      <c r="M45" s="17">
        <f>((N26/2)*96/1000)*(32/96)</f>
        <v>0.42573391630231106</v>
      </c>
      <c r="N45" s="17">
        <f>(O26*45.02)/1000</f>
        <v>5.0000000000000001E-3</v>
      </c>
      <c r="O45" s="17">
        <f>(P26*59.04)/1000</f>
        <v>2.1000000000000001E-2</v>
      </c>
      <c r="P45" s="17"/>
      <c r="Q45" s="17">
        <f>(R26*44.01)/1000</f>
        <v>7.9999999999999984E-3</v>
      </c>
      <c r="R45" s="17">
        <f>(S26*61.01564)/1000</f>
        <v>5.2004807080806419</v>
      </c>
    </row>
  </sheetData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092EA-BAF8-924F-B250-97D7FBC6A741}">
  <dimension ref="A1:R21"/>
  <sheetViews>
    <sheetView tabSelected="1" workbookViewId="0">
      <selection activeCell="C29" sqref="C29"/>
    </sheetView>
  </sheetViews>
  <sheetFormatPr baseColWidth="10" defaultRowHeight="16" x14ac:dyDescent="0.2"/>
  <sheetData>
    <row r="1" spans="1:18" x14ac:dyDescent="0.2">
      <c r="A1" s="18" t="s">
        <v>62</v>
      </c>
      <c r="B1" s="18"/>
      <c r="C1" s="18" t="s">
        <v>4</v>
      </c>
      <c r="D1" s="18" t="s">
        <v>10</v>
      </c>
      <c r="E1" s="18" t="s">
        <v>12</v>
      </c>
      <c r="F1" s="18" t="s">
        <v>14</v>
      </c>
      <c r="G1" s="18" t="s">
        <v>87</v>
      </c>
      <c r="H1" s="18" t="s">
        <v>18</v>
      </c>
      <c r="I1" s="18" t="s">
        <v>20</v>
      </c>
      <c r="J1" s="18" t="s">
        <v>0</v>
      </c>
      <c r="K1" s="18" t="s">
        <v>23</v>
      </c>
      <c r="L1" s="18" t="s">
        <v>25</v>
      </c>
      <c r="M1" s="18" t="s">
        <v>27</v>
      </c>
      <c r="N1" s="18" t="s">
        <v>88</v>
      </c>
      <c r="O1" s="18" t="s">
        <v>93</v>
      </c>
      <c r="P1" s="18" t="s">
        <v>94</v>
      </c>
      <c r="Q1" s="18" t="s">
        <v>95</v>
      </c>
      <c r="R1" s="18"/>
    </row>
    <row r="2" spans="1:18" x14ac:dyDescent="0.2">
      <c r="A2" s="20">
        <v>40355</v>
      </c>
      <c r="B2" s="18"/>
      <c r="C2" s="18">
        <v>35</v>
      </c>
      <c r="D2" s="19">
        <v>0.31274944567627494</v>
      </c>
      <c r="E2" s="19">
        <v>1.5569223053892218</v>
      </c>
      <c r="F2" s="19">
        <v>1.4626732016925248</v>
      </c>
      <c r="G2" s="19">
        <v>23.9</v>
      </c>
      <c r="H2" s="19">
        <v>0.29706111111111105</v>
      </c>
      <c r="I2" s="19">
        <v>3.7477826157071438E-2</v>
      </c>
      <c r="J2" s="19">
        <v>6.43</v>
      </c>
      <c r="K2" s="19">
        <v>1.3889396086956523</v>
      </c>
      <c r="L2" s="19">
        <v>1.6509281861678993</v>
      </c>
      <c r="M2" s="19">
        <v>1.0296897772225688</v>
      </c>
      <c r="N2" s="19">
        <v>5.7000000000000009E-2</v>
      </c>
      <c r="O2" s="19">
        <v>0.22600000000000001</v>
      </c>
      <c r="P2" s="19">
        <v>5.6000000000000001E-2</v>
      </c>
      <c r="Q2" s="19">
        <v>4.5999999999999999E-2</v>
      </c>
      <c r="R2" s="19"/>
    </row>
    <row r="3" spans="1:18" x14ac:dyDescent="0.2">
      <c r="A3" s="20">
        <v>40361</v>
      </c>
      <c r="B3" s="18"/>
      <c r="C3" s="18">
        <v>9.5</v>
      </c>
      <c r="D3" s="19">
        <v>0.18625277161862527</v>
      </c>
      <c r="E3" s="19">
        <v>1.0209490518962077</v>
      </c>
      <c r="F3" s="19">
        <v>1.9797111706629058</v>
      </c>
      <c r="G3" s="19">
        <v>32.5</v>
      </c>
      <c r="H3" s="19">
        <v>0.20104135802469134</v>
      </c>
      <c r="I3" s="19">
        <v>0.18287373004354135</v>
      </c>
      <c r="J3" s="19">
        <v>6.6</v>
      </c>
      <c r="K3" s="19">
        <v>1.1289509130434783</v>
      </c>
      <c r="L3" s="19">
        <v>1.3459414528055678</v>
      </c>
      <c r="M3" s="19">
        <v>0.55931709348323966</v>
      </c>
      <c r="N3" s="19">
        <v>2.5000000000000001E-2</v>
      </c>
      <c r="O3" s="19">
        <v>0.12000000000000001</v>
      </c>
      <c r="P3" s="19">
        <v>6.0000000000000001E-3</v>
      </c>
      <c r="Q3" s="19">
        <v>2.5999999999999999E-2</v>
      </c>
      <c r="R3" s="19"/>
    </row>
    <row r="4" spans="1:18" x14ac:dyDescent="0.2">
      <c r="A4" s="20">
        <v>40368</v>
      </c>
      <c r="B4" s="18"/>
      <c r="C4" s="18">
        <v>11</v>
      </c>
      <c r="D4" s="19">
        <v>0.10631929046563195</v>
      </c>
      <c r="E4" s="19">
        <v>0.24398782435129743</v>
      </c>
      <c r="F4" s="19">
        <v>0.24977210155148097</v>
      </c>
      <c r="G4" s="19">
        <v>5.0999999999999996</v>
      </c>
      <c r="H4" s="19">
        <v>5.1010493827160497E-2</v>
      </c>
      <c r="I4" s="19">
        <v>6.2764070311240136E-2</v>
      </c>
      <c r="J4" s="19">
        <v>6.25</v>
      </c>
      <c r="K4" s="19">
        <v>0.3009869130434783</v>
      </c>
      <c r="L4" s="19">
        <v>0.14999347542409744</v>
      </c>
      <c r="M4" s="19">
        <v>7.5952529668956881E-2</v>
      </c>
      <c r="N4" s="19">
        <v>1.2999999999999998E-2</v>
      </c>
      <c r="O4" s="19">
        <v>8.1000000000000003E-2</v>
      </c>
      <c r="P4" s="19">
        <v>7.0000000000000001E-3</v>
      </c>
      <c r="Q4" s="19">
        <v>3.5000000000000003E-2</v>
      </c>
      <c r="R4" s="19"/>
    </row>
    <row r="5" spans="1:18" x14ac:dyDescent="0.2">
      <c r="A5" s="20">
        <v>40375</v>
      </c>
      <c r="B5" s="18"/>
      <c r="C5" s="18">
        <v>38</v>
      </c>
      <c r="D5" s="19">
        <v>1.7073170731707315E-2</v>
      </c>
      <c r="E5" s="19">
        <v>0.34098298403193622</v>
      </c>
      <c r="F5" s="19">
        <v>0.33821280677009874</v>
      </c>
      <c r="G5" s="19">
        <v>3.9</v>
      </c>
      <c r="H5" s="19">
        <v>6.5013374485596714E-2</v>
      </c>
      <c r="I5" s="19">
        <v>1.4223512336719885E-2</v>
      </c>
      <c r="J5" s="19">
        <v>6.09</v>
      </c>
      <c r="K5" s="19">
        <v>0.25798878260869568</v>
      </c>
      <c r="L5" s="19">
        <v>0.24898916920400174</v>
      </c>
      <c r="M5" s="19">
        <v>8.6612533833021033E-2</v>
      </c>
      <c r="N5" s="19">
        <v>7.0000000000000001E-3</v>
      </c>
      <c r="O5" s="19">
        <v>5.1999999999999998E-2</v>
      </c>
      <c r="P5" s="19">
        <v>1.7000000000000001E-2</v>
      </c>
      <c r="Q5" s="19">
        <v>0.01</v>
      </c>
      <c r="R5" s="19"/>
    </row>
    <row r="6" spans="1:18" x14ac:dyDescent="0.2">
      <c r="A6" s="20">
        <v>40400</v>
      </c>
      <c r="B6" s="18"/>
      <c r="C6" s="18">
        <v>7.5</v>
      </c>
      <c r="D6" s="19">
        <v>0.18547671840354768</v>
      </c>
      <c r="E6" s="19">
        <v>1.5449229041916168</v>
      </c>
      <c r="F6" s="19">
        <v>0.52967235543018332</v>
      </c>
      <c r="G6" s="19">
        <v>13</v>
      </c>
      <c r="H6" s="19">
        <v>0.15803251028806586</v>
      </c>
      <c r="I6" s="19">
        <v>0.30998226092565717</v>
      </c>
      <c r="J6" s="19">
        <v>6.28</v>
      </c>
      <c r="K6" s="19">
        <v>0.34898482608695652</v>
      </c>
      <c r="L6" s="19">
        <v>0.46297986080904746</v>
      </c>
      <c r="M6" s="19">
        <v>0.31646887362065373</v>
      </c>
      <c r="N6" s="19">
        <v>1.6E-2</v>
      </c>
      <c r="O6" s="19">
        <v>8.4000000000000005E-2</v>
      </c>
      <c r="P6" s="19">
        <v>1.7000000000000001E-2</v>
      </c>
      <c r="Q6" s="19">
        <v>1.5999999999999997E-2</v>
      </c>
      <c r="R6" s="19"/>
    </row>
    <row r="7" spans="1:18" x14ac:dyDescent="0.2">
      <c r="A7" s="20">
        <v>40403</v>
      </c>
      <c r="B7" s="18"/>
      <c r="C7" s="18">
        <v>23</v>
      </c>
      <c r="D7" s="19">
        <v>3.8026607538802659E-2</v>
      </c>
      <c r="E7" s="19">
        <v>0.37098148702594813</v>
      </c>
      <c r="F7" s="19">
        <v>0.49371294781382224</v>
      </c>
      <c r="G7" s="19">
        <v>6.1</v>
      </c>
      <c r="H7" s="19">
        <v>4.3008847736625513E-2</v>
      </c>
      <c r="I7" s="19">
        <v>5.8248669569424295E-2</v>
      </c>
      <c r="J7" s="19">
        <v>6.06</v>
      </c>
      <c r="K7" s="19">
        <v>0.32698578260869565</v>
      </c>
      <c r="L7" s="19">
        <v>0.38198338408003485</v>
      </c>
      <c r="M7" s="19">
        <v>0.13158442640016657</v>
      </c>
      <c r="N7" s="19">
        <v>0.02</v>
      </c>
      <c r="O7" s="19">
        <v>6.8000000000000005E-2</v>
      </c>
      <c r="P7" s="19">
        <v>1.5999999999999997E-2</v>
      </c>
      <c r="Q7" s="19">
        <v>1.2E-2</v>
      </c>
      <c r="R7" s="19"/>
    </row>
    <row r="8" spans="1:18" x14ac:dyDescent="0.2">
      <c r="A8" s="20">
        <v>40407</v>
      </c>
      <c r="B8" s="18"/>
      <c r="C8" s="18">
        <v>24</v>
      </c>
      <c r="D8" s="19">
        <v>9.3126385809312647E-3</v>
      </c>
      <c r="E8" s="19">
        <v>1.1489426646706589</v>
      </c>
      <c r="F8" s="19">
        <v>2.0827300141043725</v>
      </c>
      <c r="G8" s="19">
        <v>20.8</v>
      </c>
      <c r="H8" s="19">
        <v>0.17103518518518518</v>
      </c>
      <c r="I8" s="19">
        <v>0.20138687308498632</v>
      </c>
      <c r="J8" s="19">
        <v>6.31</v>
      </c>
      <c r="K8" s="19">
        <v>1.2859440869565217</v>
      </c>
      <c r="L8" s="19">
        <v>1.826920530665507</v>
      </c>
      <c r="M8" s="19">
        <v>0.52167395377888814</v>
      </c>
      <c r="N8" s="19">
        <v>6.8000000000000005E-2</v>
      </c>
      <c r="O8" s="19">
        <v>0.22500000000000001</v>
      </c>
      <c r="P8" s="19">
        <v>6.3E-2</v>
      </c>
      <c r="Q8" s="19">
        <v>3.5999999999999997E-2</v>
      </c>
      <c r="R8" s="19"/>
    </row>
    <row r="9" spans="1:18" x14ac:dyDescent="0.2">
      <c r="A9" s="20">
        <v>40408</v>
      </c>
      <c r="B9" s="18"/>
      <c r="C9" s="18">
        <v>22</v>
      </c>
      <c r="D9" s="19">
        <v>7.0620842572062095E-2</v>
      </c>
      <c r="E9" s="19">
        <v>0.4489775948103793</v>
      </c>
      <c r="F9" s="19">
        <v>0.13606262341325812</v>
      </c>
      <c r="G9" s="19">
        <v>3.9</v>
      </c>
      <c r="H9" s="19">
        <v>4.4009053497942381E-2</v>
      </c>
      <c r="I9" s="19">
        <v>0.1158200290275762</v>
      </c>
      <c r="J9" s="19">
        <v>5.94</v>
      </c>
      <c r="K9" s="19">
        <v>7.399678260869566E-2</v>
      </c>
      <c r="L9" s="19">
        <v>9.1995998260113107E-2</v>
      </c>
      <c r="M9" s="19">
        <v>0.14790755777638975</v>
      </c>
      <c r="N9" s="19">
        <v>8.0000000000000002E-3</v>
      </c>
      <c r="O9" s="19">
        <v>3.6999999999999998E-2</v>
      </c>
      <c r="P9" s="19"/>
      <c r="Q9" s="19">
        <v>5.0000000000000001E-3</v>
      </c>
      <c r="R9" s="19"/>
    </row>
    <row r="10" spans="1:18" x14ac:dyDescent="0.2">
      <c r="A10" s="20">
        <v>40416</v>
      </c>
      <c r="B10" s="18"/>
      <c r="C10" s="18">
        <v>4.5</v>
      </c>
      <c r="D10" s="19">
        <v>9.5454545454545459E-2</v>
      </c>
      <c r="E10" s="19">
        <v>0.71296442115768477</v>
      </c>
      <c r="F10" s="19">
        <v>0.46261291960507761</v>
      </c>
      <c r="G10" s="19">
        <v>9.1999999999999993</v>
      </c>
      <c r="H10" s="19">
        <v>7.9016255144032932E-2</v>
      </c>
      <c r="I10" s="19">
        <v>2.6866634413804224E-2</v>
      </c>
      <c r="J10" s="19">
        <v>6.27</v>
      </c>
      <c r="K10" s="19">
        <v>0.34498499999999993</v>
      </c>
      <c r="L10" s="19">
        <v>0.40298247063940845</v>
      </c>
      <c r="M10" s="19">
        <v>0.1788881948782011</v>
      </c>
      <c r="N10" s="19">
        <v>3.1E-2</v>
      </c>
      <c r="O10" s="19">
        <v>8.5000000000000006E-2</v>
      </c>
      <c r="P10" s="19"/>
      <c r="Q10" s="19">
        <v>2.1000000000000001E-2</v>
      </c>
      <c r="R10" s="19"/>
    </row>
    <row r="11" spans="1:18" x14ac:dyDescent="0.2">
      <c r="A11" s="20">
        <v>40420</v>
      </c>
      <c r="B11" s="18"/>
      <c r="C11" s="18">
        <v>6.5</v>
      </c>
      <c r="D11" s="19">
        <v>0.11019955654101997</v>
      </c>
      <c r="E11" s="19">
        <v>0.95495234530938133</v>
      </c>
      <c r="F11" s="19">
        <v>0.78916321579689719</v>
      </c>
      <c r="G11" s="19">
        <v>11.1</v>
      </c>
      <c r="H11" s="19">
        <v>0.15703230452674896</v>
      </c>
      <c r="I11" s="19">
        <v>0.23457506853733268</v>
      </c>
      <c r="J11" s="19">
        <v>6.39</v>
      </c>
      <c r="K11" s="19">
        <v>0.34698491304347823</v>
      </c>
      <c r="L11" s="19">
        <v>0.6589713353632014</v>
      </c>
      <c r="M11" s="19">
        <v>0.31113887153862163</v>
      </c>
      <c r="N11" s="19">
        <v>7.0000000000000001E-3</v>
      </c>
      <c r="O11" s="19">
        <v>4.2000000000000003E-2</v>
      </c>
      <c r="P11" s="19"/>
      <c r="Q11" s="19">
        <v>7.000000000000001E-3</v>
      </c>
      <c r="R11" s="19"/>
    </row>
    <row r="12" spans="1:18" x14ac:dyDescent="0.2">
      <c r="A12" s="20">
        <v>40420</v>
      </c>
      <c r="B12" s="18"/>
      <c r="C12" s="18">
        <v>16</v>
      </c>
      <c r="D12" s="19">
        <v>3.1042128603104211E-2</v>
      </c>
      <c r="E12" s="19">
        <v>0.39398033932135734</v>
      </c>
      <c r="F12" s="19">
        <v>0.33529717912552892</v>
      </c>
      <c r="G12" s="19">
        <v>5.2</v>
      </c>
      <c r="H12" s="19">
        <v>6.6013580246913575E-2</v>
      </c>
      <c r="I12" s="19">
        <v>2.077084341235285E-2</v>
      </c>
      <c r="J12" s="19">
        <v>5.99</v>
      </c>
      <c r="K12" s="19">
        <v>0.22599017391304346</v>
      </c>
      <c r="L12" s="19">
        <v>0.33098560243584169</v>
      </c>
      <c r="M12" s="19">
        <v>0.13225067666042056</v>
      </c>
      <c r="N12" s="19">
        <v>1.2999999999999998E-2</v>
      </c>
      <c r="O12" s="19">
        <v>8.7999999999999995E-2</v>
      </c>
      <c r="P12" s="19"/>
      <c r="Q12" s="19">
        <v>7.000000000000001E-3</v>
      </c>
      <c r="R12" s="19"/>
    </row>
    <row r="13" spans="1:18" x14ac:dyDescent="0.2">
      <c r="A13" s="20">
        <v>40424</v>
      </c>
      <c r="B13" s="18"/>
      <c r="C13" s="18">
        <v>9</v>
      </c>
      <c r="D13" s="19">
        <v>0.15055432372505542</v>
      </c>
      <c r="E13" s="19">
        <v>0.67296641716566863</v>
      </c>
      <c r="F13" s="19">
        <v>0.43540039492242588</v>
      </c>
      <c r="G13" s="19">
        <v>7.8</v>
      </c>
      <c r="H13" s="19">
        <v>8.8018106995884762E-2</v>
      </c>
      <c r="I13" s="19">
        <v>0.18106756974681501</v>
      </c>
      <c r="J13" s="19">
        <v>5.98</v>
      </c>
      <c r="K13" s="19">
        <v>0.21499065217391305</v>
      </c>
      <c r="L13" s="19">
        <v>0.25998869073510222</v>
      </c>
      <c r="M13" s="19">
        <v>0.3241307516135748</v>
      </c>
      <c r="N13" s="19">
        <v>6.0000000000000001E-3</v>
      </c>
      <c r="O13" s="19">
        <v>2.4E-2</v>
      </c>
      <c r="P13" s="19"/>
      <c r="Q13" s="19">
        <v>6.0000000000000001E-3</v>
      </c>
      <c r="R13" s="19"/>
    </row>
    <row r="14" spans="1:18" x14ac:dyDescent="0.2">
      <c r="A14" s="20">
        <v>40424</v>
      </c>
      <c r="B14" s="18"/>
      <c r="C14" s="18">
        <v>23</v>
      </c>
      <c r="D14" s="19">
        <v>0.10011086474501109</v>
      </c>
      <c r="E14" s="19">
        <v>0.33698318363273455</v>
      </c>
      <c r="F14" s="19">
        <v>0.44609102961918196</v>
      </c>
      <c r="G14" s="19">
        <v>6.7</v>
      </c>
      <c r="H14" s="19">
        <v>6.3012962962962965E-2</v>
      </c>
      <c r="I14" s="19">
        <v>8.3309143686502177E-2</v>
      </c>
      <c r="J14" s="19">
        <v>5.84</v>
      </c>
      <c r="K14" s="19">
        <v>0.34998478260869564</v>
      </c>
      <c r="L14" s="19">
        <v>0.40498238364506306</v>
      </c>
      <c r="M14" s="19">
        <v>0.28782011242973138</v>
      </c>
      <c r="N14" s="19">
        <v>0.01</v>
      </c>
      <c r="O14" s="19">
        <v>6.4000000000000001E-2</v>
      </c>
      <c r="P14" s="19"/>
      <c r="Q14" s="19">
        <v>7.9999999999999984E-3</v>
      </c>
      <c r="R14" s="19"/>
    </row>
    <row r="15" spans="1:18" x14ac:dyDescent="0.2">
      <c r="A15" s="20">
        <v>40437</v>
      </c>
      <c r="B15" s="18"/>
      <c r="C15" s="18">
        <v>18</v>
      </c>
      <c r="D15" s="19">
        <v>0.13580931263858093</v>
      </c>
      <c r="E15" s="19">
        <v>1.2189391716566869</v>
      </c>
      <c r="F15" s="19">
        <v>1.9233423695345557</v>
      </c>
      <c r="G15" s="19">
        <v>25.9</v>
      </c>
      <c r="H15" s="19">
        <v>0.66013580246913584</v>
      </c>
      <c r="I15" s="19">
        <v>5.1475568456700538E-2</v>
      </c>
      <c r="J15" s="19">
        <v>6.75</v>
      </c>
      <c r="K15" s="19">
        <v>4.7507934347826088</v>
      </c>
      <c r="L15" s="19">
        <v>0.34998477598956074</v>
      </c>
      <c r="M15" s="19">
        <v>0.54599208827815948</v>
      </c>
      <c r="N15" s="19">
        <v>5.5E-2</v>
      </c>
      <c r="O15" s="19">
        <v>0.28999999999999998</v>
      </c>
      <c r="P15" s="19"/>
      <c r="Q15" s="19">
        <v>0.22199999999999998</v>
      </c>
      <c r="R15" s="19"/>
    </row>
    <row r="16" spans="1:18" x14ac:dyDescent="0.2">
      <c r="A16" s="20">
        <v>40441</v>
      </c>
      <c r="B16" s="18"/>
      <c r="C16" s="18">
        <v>11</v>
      </c>
      <c r="D16" s="19">
        <v>0.20565410199556536</v>
      </c>
      <c r="E16" s="19">
        <v>0.4969751996007985</v>
      </c>
      <c r="F16" s="19">
        <v>0.51800984485190404</v>
      </c>
      <c r="G16" s="19">
        <v>9.4</v>
      </c>
      <c r="H16" s="19">
        <v>0.10402139917695473</v>
      </c>
      <c r="I16" s="19">
        <v>0.13117239154975005</v>
      </c>
      <c r="J16" s="19">
        <v>6.34</v>
      </c>
      <c r="K16" s="19">
        <v>0.53997652173913036</v>
      </c>
      <c r="L16" s="19">
        <v>0.38998303610265339</v>
      </c>
      <c r="M16" s="19">
        <v>0.25417447428690398</v>
      </c>
      <c r="N16" s="19">
        <v>1.9E-2</v>
      </c>
      <c r="O16" s="19">
        <v>0.126</v>
      </c>
      <c r="P16" s="19">
        <v>8.9999999999999993E-3</v>
      </c>
      <c r="Q16" s="19">
        <v>2.5000000000000001E-2</v>
      </c>
      <c r="R16" s="19"/>
    </row>
    <row r="17" spans="1:18" x14ac:dyDescent="0.2">
      <c r="A17" s="20">
        <v>40456</v>
      </c>
      <c r="B17" s="18"/>
      <c r="C17" s="18">
        <v>2.5</v>
      </c>
      <c r="D17" s="19">
        <v>0.89246119733924612</v>
      </c>
      <c r="E17" s="19">
        <v>1.3239339321357286</v>
      </c>
      <c r="F17" s="19">
        <v>2.0244174612129759</v>
      </c>
      <c r="G17" s="19">
        <v>26.6</v>
      </c>
      <c r="H17" s="19">
        <v>0.23004732510288065</v>
      </c>
      <c r="I17" s="19">
        <v>1.172423802612482</v>
      </c>
      <c r="J17" s="19">
        <v>5.9</v>
      </c>
      <c r="K17" s="19">
        <v>0.69896960869565217</v>
      </c>
      <c r="L17" s="19">
        <v>1.242945933014354</v>
      </c>
      <c r="M17" s="19">
        <v>0.7745159275452842</v>
      </c>
      <c r="N17" s="19">
        <v>2.3E-2</v>
      </c>
      <c r="O17" s="19">
        <v>2.1999999999999999E-2</v>
      </c>
      <c r="P17" s="19"/>
      <c r="Q17" s="19">
        <v>7.9000000000000001E-2</v>
      </c>
      <c r="R17" s="19"/>
    </row>
    <row r="18" spans="1:18" x14ac:dyDescent="0.2">
      <c r="A18" s="20">
        <v>40457</v>
      </c>
      <c r="B18" s="18"/>
      <c r="C18" s="18">
        <v>3</v>
      </c>
      <c r="D18" s="19">
        <v>0.40044345898004435</v>
      </c>
      <c r="E18" s="19">
        <v>2.4508776946107789</v>
      </c>
      <c r="F18" s="19">
        <v>0.68808812411847664</v>
      </c>
      <c r="G18" s="19">
        <v>18.899999999999999</v>
      </c>
      <c r="H18" s="19">
        <v>0.15903271604938271</v>
      </c>
      <c r="I18" s="19">
        <v>0.35874858893726819</v>
      </c>
      <c r="J18" s="19">
        <v>6.58</v>
      </c>
      <c r="K18" s="19">
        <v>0.21299073913043479</v>
      </c>
      <c r="L18" s="19">
        <v>0.37798355806872558</v>
      </c>
      <c r="M18" s="19">
        <v>0.42573391630231106</v>
      </c>
      <c r="N18" s="19">
        <v>5.0000000000000001E-3</v>
      </c>
      <c r="O18" s="19">
        <v>2.1000000000000001E-2</v>
      </c>
      <c r="P18" s="19"/>
      <c r="Q18" s="19">
        <v>7.9999999999999984E-3</v>
      </c>
      <c r="R18" s="19"/>
    </row>
    <row r="19" spans="1:18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1:18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1:18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lev2.nas</vt:lpstr>
      <vt:lpstr>exemple pour F. ANDRE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2021-09-28T09:48:47Z</dcterms:created>
  <dcterms:modified xsi:type="dcterms:W3CDTF">2021-11-23T11:17:23Z</dcterms:modified>
</cp:coreProperties>
</file>